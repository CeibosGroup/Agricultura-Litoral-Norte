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rovinvestsa.sharepoint.com/sites/CeibosAgro-Uy-Produccin/Documentos compartidos/Litoral Norte/26-27/"/>
    </mc:Choice>
  </mc:AlternateContent>
  <xr:revisionPtr revIDLastSave="0" documentId="8_{66929808-80A2-4D56-9A2D-18B110CD733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nvierno" sheetId="1" r:id="rId1"/>
    <sheet name="Verano" sheetId="2" r:id="rId2"/>
    <sheet name="Lluvias" sheetId="3" r:id="rId3"/>
  </sheets>
  <definedNames>
    <definedName name="_xlnm._FilterDatabase" localSheetId="1" hidden="1">Verano!$A$2:$E$2</definedName>
    <definedName name="_xlnm._FilterDatabase" localSheetId="0" hidden="1">Invierno!$A$2:$AI$53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I54" i="1" l="1"/>
  <c r="CI55" i="1"/>
  <c r="CI56" i="1"/>
  <c r="CI57" i="1"/>
  <c r="CI58" i="1"/>
  <c r="CI59" i="1"/>
  <c r="CI60" i="1"/>
  <c r="C57" i="1"/>
  <c r="CI13" i="1"/>
  <c r="CO3" i="1"/>
  <c r="CO22" i="1"/>
  <c r="CO21" i="1"/>
  <c r="CO18" i="1"/>
  <c r="CO14" i="1"/>
  <c r="CO19" i="1"/>
  <c r="CO50" i="1"/>
  <c r="CO49" i="1"/>
  <c r="CO48" i="1"/>
  <c r="CO46" i="1"/>
  <c r="CO44" i="1"/>
  <c r="CO47" i="1"/>
  <c r="CI46" i="1"/>
  <c r="CI47" i="1"/>
  <c r="CI48" i="1"/>
  <c r="CI49" i="1"/>
  <c r="CI50" i="1"/>
  <c r="CI51" i="1"/>
  <c r="CI52" i="1"/>
  <c r="CI53" i="1"/>
  <c r="CI4" i="1"/>
  <c r="CI5" i="1"/>
  <c r="CI6" i="1"/>
  <c r="CI7" i="1"/>
  <c r="CI8" i="1"/>
  <c r="CI9" i="1"/>
  <c r="CI10" i="1"/>
  <c r="CI11" i="1"/>
  <c r="CI12" i="1"/>
  <c r="CI14" i="1"/>
  <c r="CI15" i="1"/>
  <c r="CI16" i="1"/>
  <c r="CI17" i="1"/>
  <c r="CI18" i="1"/>
  <c r="CI19" i="1"/>
  <c r="CI20" i="1"/>
  <c r="CI21" i="1"/>
  <c r="CI22" i="1"/>
  <c r="CI23" i="1"/>
  <c r="CI24" i="1"/>
  <c r="CI25" i="1"/>
  <c r="CI26" i="1"/>
  <c r="CI27" i="1"/>
  <c r="CI28" i="1"/>
  <c r="CI29" i="1"/>
  <c r="CI30" i="1"/>
  <c r="CI31" i="1"/>
  <c r="CI32" i="1"/>
  <c r="CI33" i="1"/>
  <c r="CI34" i="1"/>
  <c r="CI35" i="1"/>
  <c r="CI36" i="1"/>
  <c r="CI37" i="1"/>
  <c r="CI38" i="1"/>
  <c r="CI39" i="1"/>
  <c r="CI40" i="1"/>
  <c r="CI41" i="1"/>
  <c r="CI42" i="1"/>
  <c r="CI43" i="1"/>
  <c r="CI44" i="1"/>
  <c r="CI45" i="1"/>
  <c r="CI3" i="1"/>
</calcChain>
</file>

<file path=xl/sharedStrings.xml><?xml version="1.0" encoding="utf-8"?>
<sst xmlns="http://schemas.openxmlformats.org/spreadsheetml/2006/main" count="3898" uniqueCount="203">
  <si>
    <t>Análisis suelo</t>
  </si>
  <si>
    <t>Fertilización basal</t>
  </si>
  <si>
    <t>Barbecho</t>
  </si>
  <si>
    <t>Doble golpe</t>
  </si>
  <si>
    <t>Siembra</t>
  </si>
  <si>
    <t>Resiembra</t>
  </si>
  <si>
    <t>Resiembra 2</t>
  </si>
  <si>
    <t>Hormiguicida</t>
  </si>
  <si>
    <t>IMPLANTACION</t>
  </si>
  <si>
    <t>Fertilización Siembra</t>
  </si>
  <si>
    <t>Fertilización z22-B4</t>
  </si>
  <si>
    <t>Fertilización z30</t>
  </si>
  <si>
    <t>Fertilización z33</t>
  </si>
  <si>
    <t>Zinc foliar</t>
  </si>
  <si>
    <t>Ácidos húmicos</t>
  </si>
  <si>
    <t>Repaso</t>
  </si>
  <si>
    <t>Fungicida 1</t>
  </si>
  <si>
    <t>Fungicida 2</t>
  </si>
  <si>
    <t>Fungicida 3</t>
  </si>
  <si>
    <t>Estimación rinde</t>
  </si>
  <si>
    <t>Campo</t>
  </si>
  <si>
    <t>Lote Ceres</t>
  </si>
  <si>
    <t>Has</t>
  </si>
  <si>
    <t xml:space="preserve">Cultivo antecesor Verano </t>
  </si>
  <si>
    <t>Cult Invierno</t>
  </si>
  <si>
    <t>Fecha</t>
  </si>
  <si>
    <t>Laboratorio</t>
  </si>
  <si>
    <t>N</t>
  </si>
  <si>
    <t>P</t>
  </si>
  <si>
    <t>K</t>
  </si>
  <si>
    <t>S</t>
  </si>
  <si>
    <t>Zn</t>
  </si>
  <si>
    <t>ph</t>
  </si>
  <si>
    <t>MO</t>
  </si>
  <si>
    <t>SPT</t>
  </si>
  <si>
    <t>KCL</t>
  </si>
  <si>
    <t>Foszinc</t>
  </si>
  <si>
    <t>CaSO4</t>
  </si>
  <si>
    <t>Origen P</t>
  </si>
  <si>
    <t>Origen K</t>
  </si>
  <si>
    <t>Origen S</t>
  </si>
  <si>
    <t>Fecha (P)</t>
  </si>
  <si>
    <t>Fecha (k)</t>
  </si>
  <si>
    <t>Fecha (S)</t>
  </si>
  <si>
    <t>Contratista</t>
  </si>
  <si>
    <t>Glifo</t>
  </si>
  <si>
    <t>Cletodim</t>
  </si>
  <si>
    <t>Starane</t>
  </si>
  <si>
    <t>Amina</t>
  </si>
  <si>
    <t>Azugro</t>
  </si>
  <si>
    <t>Pixaro</t>
  </si>
  <si>
    <t>Piroxasulfone</t>
  </si>
  <si>
    <t>Diquat</t>
  </si>
  <si>
    <t>Variedad</t>
  </si>
  <si>
    <t>Origen semilla</t>
  </si>
  <si>
    <t>Kg</t>
  </si>
  <si>
    <t>Sembradora</t>
  </si>
  <si>
    <t>Fecha resiembra</t>
  </si>
  <si>
    <t>ha</t>
  </si>
  <si>
    <t>Lampo</t>
  </si>
  <si>
    <t>Pl/m</t>
  </si>
  <si>
    <t>Puntaje</t>
  </si>
  <si>
    <t>Urea az</t>
  </si>
  <si>
    <t>Azufertil</t>
  </si>
  <si>
    <t>Origen</t>
  </si>
  <si>
    <t>Análisis (ppm)</t>
  </si>
  <si>
    <t>kg prescripcion</t>
  </si>
  <si>
    <t>kg prom</t>
  </si>
  <si>
    <t>Kg Prescripcion</t>
  </si>
  <si>
    <t>Kg prom</t>
  </si>
  <si>
    <t>Total</t>
  </si>
  <si>
    <t>Dosis</t>
  </si>
  <si>
    <t>Zona</t>
  </si>
  <si>
    <t>Korvetto</t>
  </si>
  <si>
    <t>Lontrel</t>
  </si>
  <si>
    <t>Tordon</t>
  </si>
  <si>
    <t>Axial</t>
  </si>
  <si>
    <t>Hussar</t>
  </si>
  <si>
    <t>Paradigm</t>
  </si>
  <si>
    <t>Acrecio</t>
  </si>
  <si>
    <t>Vitagrow</t>
  </si>
  <si>
    <t>Tronador (1pack/25ha)</t>
  </si>
  <si>
    <t>Producto</t>
  </si>
  <si>
    <t>Espigas m2</t>
  </si>
  <si>
    <t>Granos</t>
  </si>
  <si>
    <t>p1000</t>
  </si>
  <si>
    <t>Rinde</t>
  </si>
  <si>
    <t>Malacara</t>
  </si>
  <si>
    <t>Sj1</t>
  </si>
  <si>
    <t>Cz</t>
  </si>
  <si>
    <t>Agrofertil</t>
  </si>
  <si>
    <t>Cargill</t>
  </si>
  <si>
    <t>Cofco</t>
  </si>
  <si>
    <t>Belassi</t>
  </si>
  <si>
    <t>Nuola300</t>
  </si>
  <si>
    <t>Galpon Hub</t>
  </si>
  <si>
    <t>Tianil</t>
  </si>
  <si>
    <t>Plantadora</t>
  </si>
  <si>
    <t>todo menos fondo y frente de 24ha</t>
  </si>
  <si>
    <t>Sj2</t>
  </si>
  <si>
    <t>Cobertura</t>
  </si>
  <si>
    <t>Avena</t>
  </si>
  <si>
    <t>Durazno</t>
  </si>
  <si>
    <t>Ernst</t>
  </si>
  <si>
    <t>Altina</t>
  </si>
  <si>
    <t>Montecristo</t>
  </si>
  <si>
    <t>Tr</t>
  </si>
  <si>
    <t>Catalpa</t>
  </si>
  <si>
    <t>Araña</t>
  </si>
  <si>
    <t>Programado</t>
  </si>
  <si>
    <t>todo</t>
  </si>
  <si>
    <t>2,5 (10ha)</t>
  </si>
  <si>
    <t>Aromo</t>
  </si>
  <si>
    <t>Bichadero</t>
  </si>
  <si>
    <t xml:space="preserve">Catalpa. Aromo (melgas contra 15) </t>
  </si>
  <si>
    <t>Galpon Hub y Bichadero</t>
  </si>
  <si>
    <t>todo menos melgas contra 15</t>
  </si>
  <si>
    <t>La Campana</t>
  </si>
  <si>
    <t>Belassi/ernts S</t>
  </si>
  <si>
    <t>Dante</t>
  </si>
  <si>
    <t>P. Planting</t>
  </si>
  <si>
    <t>Nuola300 y cabecera Hyola</t>
  </si>
  <si>
    <t>1 (cabeceras)</t>
  </si>
  <si>
    <t>Hyola575</t>
  </si>
  <si>
    <t>San Luis</t>
  </si>
  <si>
    <t>Mz1</t>
  </si>
  <si>
    <t>EasyAgro</t>
  </si>
  <si>
    <t>La Blanqueada</t>
  </si>
  <si>
    <t>Mz2</t>
  </si>
  <si>
    <t>Estanzuela 284</t>
  </si>
  <si>
    <t>Granicor</t>
  </si>
  <si>
    <t>Martin Rubiolo</t>
  </si>
  <si>
    <t>Drone</t>
  </si>
  <si>
    <t>31/3</t>
  </si>
  <si>
    <t>Curry</t>
  </si>
  <si>
    <t>45Y95 (puente) y Floriana</t>
  </si>
  <si>
    <t>F. Ibarra</t>
  </si>
  <si>
    <t>0.5</t>
  </si>
  <si>
    <t>45Y95 (Bajo derecha camino) y Floriana</t>
  </si>
  <si>
    <t>F. Ibarra y Tianil</t>
  </si>
  <si>
    <t>P. Planting y Plantadora</t>
  </si>
  <si>
    <t>curry/Hyola575 (lado chico camino)</t>
  </si>
  <si>
    <t>Nuola300 (lado grande del camino) y Floriana</t>
  </si>
  <si>
    <t>A. Gutierrez</t>
  </si>
  <si>
    <t>Dron</t>
  </si>
  <si>
    <t>Santa Rafaela</t>
  </si>
  <si>
    <t>Bellaco</t>
  </si>
  <si>
    <t>Ceb</t>
  </si>
  <si>
    <t>Osiris</t>
  </si>
  <si>
    <t>todo menos contra juanes</t>
  </si>
  <si>
    <t>Chaniar norte</t>
  </si>
  <si>
    <t>Chaniar sur</t>
  </si>
  <si>
    <t>Copagran</t>
  </si>
  <si>
    <t>Frilor</t>
  </si>
  <si>
    <t>todo menos melgas del manguera</t>
  </si>
  <si>
    <t>Los Juanes</t>
  </si>
  <si>
    <t>todo menos fondo</t>
  </si>
  <si>
    <t>Manguera E</t>
  </si>
  <si>
    <t>todo menos lenguas contra vecino</t>
  </si>
  <si>
    <t>Manguera w</t>
  </si>
  <si>
    <t>Olimpia</t>
  </si>
  <si>
    <t>todo menos ctra puesto</t>
  </si>
  <si>
    <t>Nianiez</t>
  </si>
  <si>
    <t>todo menos entrada a la izquierda</t>
  </si>
  <si>
    <t>Trillo</t>
  </si>
  <si>
    <t>Entrada</t>
  </si>
  <si>
    <t>Puesto</t>
  </si>
  <si>
    <t>Don Juan del Tala</t>
  </si>
  <si>
    <t>10B</t>
  </si>
  <si>
    <t>AgroFertil</t>
  </si>
  <si>
    <t>10-sep.</t>
  </si>
  <si>
    <t>Dominguez</t>
  </si>
  <si>
    <t>AyP Servicios</t>
  </si>
  <si>
    <t>Nuola 300</t>
  </si>
  <si>
    <t>Erro</t>
  </si>
  <si>
    <t>Rodrigo Ibarra</t>
  </si>
  <si>
    <t>10C</t>
  </si>
  <si>
    <t>Nuola 301</t>
  </si>
  <si>
    <t>4A</t>
  </si>
  <si>
    <t>Araucaria</t>
  </si>
  <si>
    <t>Megaagro</t>
  </si>
  <si>
    <t>4B</t>
  </si>
  <si>
    <t>8D</t>
  </si>
  <si>
    <t>9B</t>
  </si>
  <si>
    <t>14B</t>
  </si>
  <si>
    <t xml:space="preserve">Cultivo Invierno </t>
  </si>
  <si>
    <t>Cult Verano</t>
  </si>
  <si>
    <t>REGISTRO (mm)</t>
  </si>
  <si>
    <t>dic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</si>
  <si>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</si>
  <si>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</si>
  <si>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</si>
  <si>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</si>
  <si>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</si>
  <si>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</si>
  <si>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</si>
  <si>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</si>
  <si>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</si>
  <si>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</si>
  <si>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</si>
  <si>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Sta Rafaela</t>
  </si>
  <si>
    <t> </t>
  </si>
  <si>
    <t>Campana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</si>
</sst>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"/>
    <numFmt numFmtId="165" formatCode="#,##0.00_ ;\-#,##0.00\ "/>
    <numFmt numFmtId="166" formatCode="0.000"/>
  </numFmts>
  <fonts count="15">
    <font>
      <sz val="11"/>
      <color theme="1"/>
      <name val="Calibri"/>
      <family val="2"/>
      <scheme val="minor"/>
    </font>
    <font>
      <sz val="16"/>
      <color theme="1"/>
      <name val="Calibri"/>
      <family val="2"/>
    </font>
    <font>
      <b/>
      <sz val="16"/>
      <color theme="1"/>
      <name val="Calibri"/>
      <family val="2"/>
    </font>
    <font>
      <sz val="16"/>
      <name val="Arial"/>
      <family val="2"/>
    </font>
    <font>
      <sz val="16"/>
      <name val="Calibri"/>
      <family val="2"/>
    </font>
    <font>
      <sz val="11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sz val="11"/>
      <color rgb="FFFF0000"/>
      <name val="Calibri"/>
      <family val="2"/>
      <scheme val="minor"/>
    </font>
    <font>
      <b/>
      <sz val="11"/>
      <color rgb="FF1A4A1A"/>
      <name val="Calibri"/>
    </font>
    <font>
      <b/>
      <sz val="10"/>
      <color rgb="FFFFFFFF"/>
      <name val="Calibri"/>
    </font>
    <font>
      <sz val="10"/>
      <name val="Calibri"/>
    </font>
    <font>
      <sz val="10"/>
      <name val="Comic Sans MS"/>
      <family val="4"/>
    </font>
  </fonts>
  <fills count="25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theme="9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5B9BD5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ED7D31"/>
        <bgColor rgb="FF000000"/>
      </patternFill>
    </fill>
    <fill>
      <patternFill patternType="solid">
        <fgColor rgb="FF002060"/>
        <bgColor indexed="64"/>
      </patternFill>
    </fill>
    <fill>
      <patternFill patternType="solid">
        <fgColor rgb="FFAEAAAA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1A4A1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5F5F0"/>
        <bgColor rgb="FF000000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CCCCAA"/>
      </left>
      <right style="thin">
        <color rgb="FFCCCCAA"/>
      </right>
      <top style="thin">
        <color rgb="FFCCCCAA"/>
      </top>
      <bottom style="thin">
        <color rgb="FFCCCCAA"/>
      </bottom>
      <diagonal/>
    </border>
    <border>
      <left/>
      <right style="thin">
        <color rgb="FFCCCCAA"/>
      </right>
      <top style="thin">
        <color rgb="FFCCCCAA"/>
      </top>
      <bottom style="thin">
        <color rgb="FFCCCCAA"/>
      </bottom>
      <diagonal/>
    </border>
    <border>
      <left style="thin">
        <color rgb="FFCCCCAA"/>
      </left>
      <right style="thin">
        <color rgb="FFCCCCAA"/>
      </right>
      <top/>
      <bottom style="thin">
        <color rgb="FFCCCCAA"/>
      </bottom>
      <diagonal/>
    </border>
    <border>
      <left/>
      <right style="thin">
        <color rgb="FFCCCCAA"/>
      </right>
      <top/>
      <bottom style="thin">
        <color rgb="FFCCCC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6">
    <xf numFmtId="0" fontId="0" fillId="0" borderId="0" xfId="0"/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/>
    </xf>
    <xf numFmtId="0" fontId="3" fillId="10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7" fillId="12" borderId="5" xfId="0" applyFont="1" applyFill="1" applyBorder="1" applyAlignment="1">
      <alignment horizontal="center" vertical="center"/>
    </xf>
    <xf numFmtId="0" fontId="3" fillId="18" borderId="0" xfId="0" applyFont="1" applyFill="1" applyAlignment="1">
      <alignment horizontal="center" vertical="center"/>
    </xf>
    <xf numFmtId="0" fontId="3" fillId="18" borderId="7" xfId="0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6" fillId="12" borderId="2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14" borderId="0" xfId="0" applyFont="1" applyFill="1" applyAlignment="1">
      <alignment horizontal="center" vertical="center"/>
    </xf>
    <xf numFmtId="0" fontId="3" fillId="12" borderId="0" xfId="0" applyFont="1" applyFill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3" fillId="19" borderId="0" xfId="0" applyFont="1" applyFill="1" applyAlignment="1">
      <alignment horizontal="center" vertical="center"/>
    </xf>
    <xf numFmtId="0" fontId="3" fillId="17" borderId="0" xfId="0" applyFont="1" applyFill="1" applyAlignment="1">
      <alignment horizontal="center" vertical="center"/>
    </xf>
    <xf numFmtId="0" fontId="0" fillId="8" borderId="0" xfId="0" applyFill="1" applyAlignment="1">
      <alignment horizontal="center"/>
    </xf>
    <xf numFmtId="16" fontId="0" fillId="8" borderId="0" xfId="0" applyNumberFormat="1" applyFill="1" applyAlignment="1">
      <alignment horizontal="center"/>
    </xf>
    <xf numFmtId="0" fontId="5" fillId="16" borderId="0" xfId="0" applyFont="1" applyFill="1" applyAlignment="1">
      <alignment horizontal="center" vertical="center"/>
    </xf>
    <xf numFmtId="0" fontId="3" fillId="20" borderId="0" xfId="0" applyFont="1" applyFill="1" applyAlignment="1">
      <alignment horizontal="center" vertical="center"/>
    </xf>
    <xf numFmtId="16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4" fontId="0" fillId="8" borderId="0" xfId="0" applyNumberFormat="1" applyFill="1" applyAlignment="1">
      <alignment horizontal="center"/>
    </xf>
    <xf numFmtId="0" fontId="10" fillId="8" borderId="0" xfId="0" applyFont="1" applyFill="1" applyAlignment="1">
      <alignment horizontal="center"/>
    </xf>
    <xf numFmtId="0" fontId="4" fillId="21" borderId="0" xfId="0" applyFont="1" applyFill="1" applyAlignment="1">
      <alignment horizontal="center" vertical="center"/>
    </xf>
    <xf numFmtId="2" fontId="0" fillId="0" borderId="0" xfId="0" applyNumberFormat="1" applyAlignment="1">
      <alignment horizontal="center"/>
    </xf>
    <xf numFmtId="0" fontId="8" fillId="0" borderId="0" xfId="0" applyFont="1"/>
    <xf numFmtId="0" fontId="11" fillId="0" borderId="0" xfId="0" applyFont="1"/>
    <xf numFmtId="0" fontId="13" fillId="0" borderId="0" xfId="0" applyFont="1"/>
    <xf numFmtId="0" fontId="12" fillId="0" borderId="0" xfId="0" applyFont="1"/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2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22" borderId="0" xfId="0" applyFont="1" applyFill="1" applyAlignment="1">
      <alignment horizontal="center"/>
    </xf>
    <xf numFmtId="14" fontId="13" fillId="0" borderId="0" xfId="0" applyNumberFormat="1" applyFont="1" applyAlignment="1">
      <alignment horizontal="center"/>
    </xf>
    <xf numFmtId="14" fontId="13" fillId="24" borderId="0" xfId="0" applyNumberFormat="1" applyFont="1" applyFill="1" applyAlignment="1">
      <alignment horizontal="center"/>
    </xf>
    <xf numFmtId="0" fontId="8" fillId="23" borderId="0" xfId="0" applyFont="1" applyFill="1" applyAlignment="1">
      <alignment horizontal="center"/>
    </xf>
    <xf numFmtId="0" fontId="8" fillId="23" borderId="1" xfId="0" applyFont="1" applyFill="1" applyBorder="1" applyAlignment="1">
      <alignment horizontal="center"/>
    </xf>
    <xf numFmtId="0" fontId="8" fillId="23" borderId="2" xfId="0" applyFont="1" applyFill="1" applyBorder="1" applyAlignment="1">
      <alignment horizontal="center"/>
    </xf>
    <xf numFmtId="2" fontId="8" fillId="0" borderId="8" xfId="0" applyNumberFormat="1" applyFont="1" applyBorder="1"/>
    <xf numFmtId="2" fontId="8" fillId="0" borderId="9" xfId="0" applyNumberFormat="1" applyFont="1" applyBorder="1"/>
    <xf numFmtId="2" fontId="8" fillId="24" borderId="10" xfId="0" applyNumberFormat="1" applyFont="1" applyFill="1" applyBorder="1"/>
    <xf numFmtId="2" fontId="8" fillId="24" borderId="11" xfId="0" applyNumberFormat="1" applyFont="1" applyFill="1" applyBorder="1"/>
    <xf numFmtId="2" fontId="8" fillId="0" borderId="10" xfId="0" applyNumberFormat="1" applyFont="1" applyBorder="1"/>
    <xf numFmtId="2" fontId="8" fillId="0" borderId="11" xfId="0" applyNumberFormat="1" applyFont="1" applyBorder="1"/>
    <xf numFmtId="2" fontId="8" fillId="0" borderId="0" xfId="0" applyNumberFormat="1" applyFont="1" applyAlignment="1">
      <alignment horizontal="center"/>
    </xf>
    <xf numFmtId="2" fontId="0" fillId="8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166" fontId="0" fillId="8" borderId="0" xfId="0" applyNumberFormat="1" applyFill="1" applyAlignment="1">
      <alignment horizontal="center"/>
    </xf>
    <xf numFmtId="0" fontId="5" fillId="8" borderId="0" xfId="0" applyFont="1" applyFill="1" applyAlignment="1">
      <alignment horizontal="center"/>
    </xf>
    <xf numFmtId="0" fontId="14" fillId="0" borderId="12" xfId="0" applyFont="1" applyBorder="1" applyAlignment="1">
      <alignment horizontal="center"/>
    </xf>
    <xf numFmtId="0" fontId="14" fillId="0" borderId="13" xfId="0" applyFont="1" applyBorder="1" applyAlignment="1">
      <alignment horizontal="center"/>
    </xf>
    <xf numFmtId="10" fontId="14" fillId="0" borderId="13" xfId="0" applyNumberFormat="1" applyFont="1" applyBorder="1" applyAlignment="1">
      <alignment horizontal="center"/>
    </xf>
    <xf numFmtId="0" fontId="3" fillId="5" borderId="0" xfId="0" applyFont="1" applyFill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5" fillId="16" borderId="0" xfId="0" applyFont="1" applyFill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6" fillId="12" borderId="3" xfId="0" applyFont="1" applyFill="1" applyBorder="1" applyAlignment="1">
      <alignment horizontal="center" vertical="center"/>
    </xf>
    <xf numFmtId="0" fontId="6" fillId="12" borderId="4" xfId="0" applyFont="1" applyFill="1" applyBorder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7" fillId="14" borderId="3" xfId="0" applyFont="1" applyFill="1" applyBorder="1" applyAlignment="1">
      <alignment horizontal="center" vertical="center"/>
    </xf>
    <xf numFmtId="0" fontId="7" fillId="14" borderId="5" xfId="0" applyFont="1" applyFill="1" applyBorder="1" applyAlignment="1">
      <alignment horizontal="center" vertical="center"/>
    </xf>
    <xf numFmtId="0" fontId="7" fillId="14" borderId="4" xfId="0" applyFont="1" applyFill="1" applyBorder="1" applyAlignment="1">
      <alignment horizontal="center" vertical="center"/>
    </xf>
    <xf numFmtId="0" fontId="3" fillId="20" borderId="1" xfId="0" applyFont="1" applyFill="1" applyBorder="1" applyAlignment="1">
      <alignment horizontal="center" vertical="center"/>
    </xf>
    <xf numFmtId="0" fontId="3" fillId="20" borderId="0" xfId="0" applyFont="1" applyFill="1" applyAlignment="1">
      <alignment horizontal="center" vertical="center"/>
    </xf>
    <xf numFmtId="0" fontId="3" fillId="20" borderId="2" xfId="0" applyFont="1" applyFill="1" applyBorder="1" applyAlignment="1">
      <alignment horizontal="center" vertical="center"/>
    </xf>
    <xf numFmtId="0" fontId="3" fillId="18" borderId="7" xfId="0" applyFont="1" applyFill="1" applyBorder="1" applyAlignment="1">
      <alignment horizontal="center" vertical="center"/>
    </xf>
    <xf numFmtId="0" fontId="3" fillId="18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7" fillId="15" borderId="0" xfId="0" applyFont="1" applyFill="1" applyAlignment="1">
      <alignment horizontal="center" vertical="center"/>
    </xf>
    <xf numFmtId="0" fontId="7" fillId="16" borderId="0" xfId="0" applyFont="1" applyFill="1" applyAlignment="1">
      <alignment horizontal="center" vertical="center"/>
    </xf>
    <xf numFmtId="0" fontId="7" fillId="17" borderId="0" xfId="0" applyFont="1" applyFill="1" applyAlignment="1">
      <alignment horizontal="center" vertical="center"/>
    </xf>
    <xf numFmtId="0" fontId="7" fillId="17" borderId="2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3" fillId="18" borderId="6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Q104"/>
  <sheetViews>
    <sheetView tabSelected="1" zoomScale="76" workbookViewId="0">
      <pane ySplit="2" topLeftCell="A23" activePane="bottomLeft" state="frozen"/>
      <selection pane="bottomLeft" activeCell="BS54" sqref="BS54"/>
    </sheetView>
  </sheetViews>
  <sheetFormatPr defaultColWidth="9.140625" defaultRowHeight="15" customHeight="1"/>
  <cols>
    <col min="1" max="1" width="19.28515625" style="17" bestFit="1" customWidth="1"/>
    <col min="2" max="2" width="16.85546875" style="17" bestFit="1" customWidth="1"/>
    <col min="3" max="3" width="10.85546875" style="17" bestFit="1" customWidth="1"/>
    <col min="4" max="4" width="18.140625" style="17" customWidth="1"/>
    <col min="5" max="5" width="18.28515625" style="17" bestFit="1" customWidth="1"/>
    <col min="6" max="6" width="9.7109375" style="17" hidden="1" customWidth="1"/>
    <col min="7" max="7" width="16.5703125" style="17" hidden="1" customWidth="1"/>
    <col min="8" max="16" width="9.140625" style="17" hidden="1" customWidth="1"/>
    <col min="17" max="18" width="11.7109375" style="17" hidden="1" customWidth="1"/>
    <col min="19" max="21" width="15.5703125" style="17" hidden="1" customWidth="1"/>
    <col min="22" max="22" width="16.85546875" style="17" hidden="1" customWidth="1"/>
    <col min="23" max="23" width="16.42578125" style="17" hidden="1" customWidth="1"/>
    <col min="24" max="24" width="14.7109375" style="17" hidden="1" customWidth="1"/>
    <col min="25" max="33" width="9.140625" style="17" hidden="1" customWidth="1"/>
    <col min="34" max="34" width="11.42578125" style="17" hidden="1" customWidth="1"/>
    <col min="35" max="38" width="9.140625" style="17" hidden="1" customWidth="1"/>
    <col min="39" max="39" width="10.85546875" style="17" hidden="1" customWidth="1"/>
    <col min="40" max="40" width="14.85546875" style="17" hidden="1" customWidth="1"/>
    <col min="41" max="42" width="20.5703125" style="17" hidden="1" customWidth="1"/>
    <col min="43" max="44" width="16" style="17" hidden="1" customWidth="1"/>
    <col min="45" max="45" width="18" style="17" hidden="1" customWidth="1"/>
    <col min="46" max="46" width="13.42578125" style="17" hidden="1" customWidth="1"/>
    <col min="47" max="48" width="20.5703125" style="17" hidden="1" customWidth="1"/>
    <col min="49" max="49" width="24.140625" style="17" hidden="1" customWidth="1"/>
    <col min="50" max="50" width="9.140625" style="17" hidden="1" customWidth="1"/>
    <col min="51" max="51" width="16" style="17" hidden="1" customWidth="1"/>
    <col min="52" max="52" width="18" style="17" hidden="1" customWidth="1"/>
    <col min="53" max="53" width="13.42578125" style="17" hidden="1" customWidth="1"/>
    <col min="54" max="54" width="20.5703125" style="17" hidden="1" customWidth="1"/>
    <col min="55" max="55" width="24.140625" style="17" hidden="1" customWidth="1"/>
    <col min="56" max="56" width="9.140625" style="17" hidden="1" customWidth="1"/>
    <col min="57" max="57" width="16" style="17" hidden="1" customWidth="1"/>
    <col min="58" max="61" width="18" style="17" hidden="1" customWidth="1"/>
    <col min="62" max="62" width="9.140625" style="17" hidden="1" customWidth="1"/>
    <col min="63" max="63" width="11" style="17" hidden="1" customWidth="1"/>
    <col min="64" max="64" width="12" style="17" hidden="1" customWidth="1"/>
    <col min="65" max="65" width="12.28515625" style="17" hidden="1" customWidth="1"/>
    <col min="66" max="66" width="10.42578125" style="17" hidden="1" customWidth="1"/>
    <col min="67" max="67" width="9.7109375" style="17" hidden="1" customWidth="1"/>
    <col min="68" max="68" width="16" style="17" hidden="1" customWidth="1"/>
    <col min="69" max="90" width="9.140625" style="17" customWidth="1"/>
    <col min="91" max="93" width="9.140625" style="17" hidden="1" customWidth="1"/>
    <col min="94" max="94" width="32.7109375" style="17" hidden="1" customWidth="1"/>
    <col min="95" max="95" width="16" style="17" hidden="1" customWidth="1"/>
    <col min="96" max="96" width="11.42578125" style="17" bestFit="1" customWidth="1"/>
    <col min="97" max="97" width="13.28515625" style="17" bestFit="1" customWidth="1"/>
    <col min="98" max="98" width="13.28515625" style="17" customWidth="1"/>
    <col min="99" max="99" width="10.5703125" style="17" hidden="1" customWidth="1"/>
    <col min="100" max="100" width="11" style="17" bestFit="1" customWidth="1"/>
    <col min="101" max="101" width="11" style="17" customWidth="1"/>
    <col min="102" max="102" width="8" style="17" bestFit="1" customWidth="1"/>
    <col min="103" max="103" width="11" style="17" bestFit="1" customWidth="1"/>
    <col min="104" max="104" width="14.28515625" style="17" hidden="1" customWidth="1"/>
    <col min="105" max="105" width="14.28515625" style="17" customWidth="1"/>
    <col min="106" max="106" width="13.140625" style="17" bestFit="1" customWidth="1"/>
    <col min="107" max="107" width="32.28515625" style="17" bestFit="1" customWidth="1"/>
    <col min="108" max="108" width="16" style="17" bestFit="1" customWidth="1"/>
    <col min="109" max="121" width="9.140625" style="17" bestFit="1" customWidth="1"/>
    <col min="122" max="16384" width="9.140625" style="17"/>
  </cols>
  <sheetData>
    <row r="1" spans="1:121" ht="21">
      <c r="A1" s="1"/>
      <c r="B1" s="2"/>
      <c r="C1" s="3"/>
      <c r="D1" s="4"/>
      <c r="F1" s="72" t="s">
        <v>0</v>
      </c>
      <c r="G1" s="72"/>
      <c r="H1" s="72"/>
      <c r="I1" s="72"/>
      <c r="J1" s="72"/>
      <c r="K1" s="72"/>
      <c r="L1" s="72"/>
      <c r="M1" s="72"/>
      <c r="N1" s="72"/>
      <c r="O1" s="73" t="s">
        <v>1</v>
      </c>
      <c r="P1" s="74"/>
      <c r="Q1" s="74"/>
      <c r="R1" s="74"/>
      <c r="S1" s="74"/>
      <c r="T1" s="74"/>
      <c r="U1" s="74"/>
      <c r="V1" s="74"/>
      <c r="W1" s="74"/>
      <c r="X1" s="74"/>
      <c r="Y1" s="74"/>
      <c r="Z1" s="75" t="s">
        <v>2</v>
      </c>
      <c r="AA1" s="75"/>
      <c r="AB1" s="75"/>
      <c r="AC1" s="75"/>
      <c r="AD1" s="75"/>
      <c r="AE1" s="75"/>
      <c r="AF1" s="75"/>
      <c r="AG1" s="75"/>
      <c r="AH1" s="75"/>
      <c r="AI1" s="75"/>
      <c r="AJ1" s="81" t="s">
        <v>3</v>
      </c>
      <c r="AK1" s="81"/>
      <c r="AL1" s="81"/>
      <c r="AM1" s="81"/>
      <c r="AN1" s="76" t="s">
        <v>4</v>
      </c>
      <c r="AO1" s="76"/>
      <c r="AP1" s="76"/>
      <c r="AQ1" s="76"/>
      <c r="AR1" s="76"/>
      <c r="AS1" s="77"/>
      <c r="AT1" s="78" t="s">
        <v>5</v>
      </c>
      <c r="AU1" s="79"/>
      <c r="AV1" s="79"/>
      <c r="AW1" s="79"/>
      <c r="AX1" s="79"/>
      <c r="AY1" s="79"/>
      <c r="AZ1" s="80"/>
      <c r="BA1" s="82" t="s">
        <v>6</v>
      </c>
      <c r="BB1" s="83"/>
      <c r="BC1" s="83"/>
      <c r="BD1" s="83"/>
      <c r="BE1" s="83"/>
      <c r="BF1" s="84"/>
      <c r="BG1" s="91" t="s">
        <v>7</v>
      </c>
      <c r="BH1" s="92"/>
      <c r="BI1" s="93"/>
      <c r="BJ1" s="85" t="s">
        <v>8</v>
      </c>
      <c r="BK1" s="86"/>
      <c r="BL1" s="87" t="s">
        <v>9</v>
      </c>
      <c r="BM1" s="87"/>
      <c r="BN1" s="87"/>
      <c r="BO1" s="87"/>
      <c r="BP1" s="87"/>
      <c r="BQ1" s="88" t="s">
        <v>10</v>
      </c>
      <c r="BR1" s="89"/>
      <c r="BS1" s="89"/>
      <c r="BT1" s="89"/>
      <c r="BU1" s="89"/>
      <c r="BV1" s="90"/>
      <c r="BW1" s="89" t="s">
        <v>11</v>
      </c>
      <c r="BX1" s="89"/>
      <c r="BY1" s="89"/>
      <c r="BZ1" s="89"/>
      <c r="CA1" s="89"/>
      <c r="CB1" s="89"/>
      <c r="CC1" s="89" t="s">
        <v>12</v>
      </c>
      <c r="CD1" s="89"/>
      <c r="CE1" s="89"/>
      <c r="CF1" s="89"/>
      <c r="CG1" s="89"/>
      <c r="CH1" s="89"/>
      <c r="CI1" s="23"/>
      <c r="CJ1" s="97" t="s">
        <v>13</v>
      </c>
      <c r="CK1" s="97"/>
      <c r="CL1" s="97"/>
      <c r="CM1" s="98" t="s">
        <v>14</v>
      </c>
      <c r="CN1" s="98"/>
      <c r="CO1" s="98"/>
      <c r="CP1" s="98"/>
      <c r="CQ1" s="98"/>
      <c r="CR1" s="99" t="s">
        <v>15</v>
      </c>
      <c r="CS1" s="99"/>
      <c r="CT1" s="99"/>
      <c r="CU1" s="99"/>
      <c r="CV1" s="99"/>
      <c r="CW1" s="99"/>
      <c r="CX1" s="99"/>
      <c r="CY1" s="99"/>
      <c r="CZ1" s="99"/>
      <c r="DA1" s="99"/>
      <c r="DB1" s="99"/>
      <c r="DC1" s="99"/>
      <c r="DD1" s="100"/>
      <c r="DE1" s="101" t="s">
        <v>16</v>
      </c>
      <c r="DF1" s="95"/>
      <c r="DG1" s="102"/>
      <c r="DH1" s="94" t="s">
        <v>17</v>
      </c>
      <c r="DI1" s="95"/>
      <c r="DJ1" s="95"/>
      <c r="DK1" s="95" t="s">
        <v>18</v>
      </c>
      <c r="DL1" s="95"/>
      <c r="DM1" s="95"/>
      <c r="DN1" s="96" t="s">
        <v>19</v>
      </c>
      <c r="DO1" s="96"/>
      <c r="DP1" s="96"/>
      <c r="DQ1" s="96"/>
    </row>
    <row r="2" spans="1:121" ht="21">
      <c r="A2" s="5" t="s">
        <v>20</v>
      </c>
      <c r="B2" s="5" t="s">
        <v>21</v>
      </c>
      <c r="C2" s="5" t="s">
        <v>22</v>
      </c>
      <c r="D2" s="5" t="s">
        <v>23</v>
      </c>
      <c r="E2" s="5" t="s">
        <v>24</v>
      </c>
      <c r="F2" s="11" t="s">
        <v>25</v>
      </c>
      <c r="G2" s="10" t="s">
        <v>26</v>
      </c>
      <c r="H2" s="10" t="s">
        <v>27</v>
      </c>
      <c r="I2" s="10" t="s">
        <v>28</v>
      </c>
      <c r="J2" s="10" t="s">
        <v>29</v>
      </c>
      <c r="K2" s="10" t="s">
        <v>30</v>
      </c>
      <c r="L2" s="10" t="s">
        <v>31</v>
      </c>
      <c r="M2" s="10" t="s">
        <v>32</v>
      </c>
      <c r="N2" s="10" t="s">
        <v>33</v>
      </c>
      <c r="O2" s="12" t="s">
        <v>34</v>
      </c>
      <c r="P2" s="13" t="s">
        <v>35</v>
      </c>
      <c r="Q2" s="13" t="s">
        <v>36</v>
      </c>
      <c r="R2" s="13" t="s">
        <v>37</v>
      </c>
      <c r="S2" s="13" t="s">
        <v>38</v>
      </c>
      <c r="T2" s="13" t="s">
        <v>39</v>
      </c>
      <c r="U2" s="13" t="s">
        <v>40</v>
      </c>
      <c r="V2" s="13" t="s">
        <v>41</v>
      </c>
      <c r="W2" s="13" t="s">
        <v>42</v>
      </c>
      <c r="X2" s="13" t="s">
        <v>43</v>
      </c>
      <c r="Y2" s="14" t="s">
        <v>44</v>
      </c>
      <c r="Z2" s="15" t="s">
        <v>45</v>
      </c>
      <c r="AA2" s="15" t="s">
        <v>46</v>
      </c>
      <c r="AB2" s="15" t="s">
        <v>47</v>
      </c>
      <c r="AC2" s="15" t="s">
        <v>48</v>
      </c>
      <c r="AD2" s="15" t="s">
        <v>49</v>
      </c>
      <c r="AE2" s="15" t="s">
        <v>50</v>
      </c>
      <c r="AF2" s="15" t="s">
        <v>51</v>
      </c>
      <c r="AG2" s="15" t="s">
        <v>52</v>
      </c>
      <c r="AH2" s="15" t="s">
        <v>25</v>
      </c>
      <c r="AI2" s="15" t="s">
        <v>44</v>
      </c>
      <c r="AJ2" s="36" t="s">
        <v>45</v>
      </c>
      <c r="AK2" s="36" t="s">
        <v>52</v>
      </c>
      <c r="AL2" s="36" t="s">
        <v>25</v>
      </c>
      <c r="AM2" s="36" t="s">
        <v>44</v>
      </c>
      <c r="AN2" s="16" t="s">
        <v>53</v>
      </c>
      <c r="AO2" s="16" t="s">
        <v>54</v>
      </c>
      <c r="AP2" s="16" t="s">
        <v>55</v>
      </c>
      <c r="AQ2" s="16" t="s">
        <v>25</v>
      </c>
      <c r="AR2" s="16" t="s">
        <v>44</v>
      </c>
      <c r="AS2" s="16" t="s">
        <v>56</v>
      </c>
      <c r="AT2" s="20" t="s">
        <v>53</v>
      </c>
      <c r="AU2" s="20" t="s">
        <v>54</v>
      </c>
      <c r="AV2" s="20" t="s">
        <v>55</v>
      </c>
      <c r="AW2" s="20" t="s">
        <v>57</v>
      </c>
      <c r="AX2" s="20" t="s">
        <v>58</v>
      </c>
      <c r="AY2" s="20" t="s">
        <v>44</v>
      </c>
      <c r="AZ2" s="20" t="s">
        <v>56</v>
      </c>
      <c r="BA2" s="21" t="s">
        <v>53</v>
      </c>
      <c r="BB2" s="21" t="s">
        <v>54</v>
      </c>
      <c r="BC2" s="21" t="s">
        <v>57</v>
      </c>
      <c r="BD2" s="21" t="s">
        <v>58</v>
      </c>
      <c r="BE2" s="21" t="s">
        <v>44</v>
      </c>
      <c r="BF2" s="21" t="s">
        <v>56</v>
      </c>
      <c r="BG2" s="37" t="s">
        <v>59</v>
      </c>
      <c r="BH2" s="37" t="s">
        <v>25</v>
      </c>
      <c r="BI2" s="37" t="s">
        <v>44</v>
      </c>
      <c r="BJ2" s="27" t="s">
        <v>60</v>
      </c>
      <c r="BK2" s="27" t="s">
        <v>61</v>
      </c>
      <c r="BL2" s="22" t="s">
        <v>62</v>
      </c>
      <c r="BM2" s="22" t="s">
        <v>63</v>
      </c>
      <c r="BN2" s="22" t="s">
        <v>64</v>
      </c>
      <c r="BO2" s="22" t="s">
        <v>25</v>
      </c>
      <c r="BP2" s="22" t="s">
        <v>44</v>
      </c>
      <c r="BQ2" s="28" t="s">
        <v>65</v>
      </c>
      <c r="BR2" s="29" t="s">
        <v>25</v>
      </c>
      <c r="BS2" s="29" t="s">
        <v>55</v>
      </c>
      <c r="BT2" s="29" t="s">
        <v>64</v>
      </c>
      <c r="BU2" s="29" t="s">
        <v>25</v>
      </c>
      <c r="BV2" s="29" t="s">
        <v>44</v>
      </c>
      <c r="BW2" s="29" t="s">
        <v>25</v>
      </c>
      <c r="BX2" s="29" t="s">
        <v>66</v>
      </c>
      <c r="BY2" s="29" t="s">
        <v>67</v>
      </c>
      <c r="BZ2" s="29" t="s">
        <v>64</v>
      </c>
      <c r="CA2" s="29" t="s">
        <v>25</v>
      </c>
      <c r="CB2" s="29" t="s">
        <v>44</v>
      </c>
      <c r="CC2" s="29" t="s">
        <v>25</v>
      </c>
      <c r="CD2" s="29" t="s">
        <v>68</v>
      </c>
      <c r="CE2" s="29" t="s">
        <v>69</v>
      </c>
      <c r="CF2" s="29" t="s">
        <v>64</v>
      </c>
      <c r="CG2" s="29" t="s">
        <v>25</v>
      </c>
      <c r="CH2" s="29" t="s">
        <v>44</v>
      </c>
      <c r="CI2" s="30" t="s">
        <v>70</v>
      </c>
      <c r="CJ2" s="31" t="s">
        <v>25</v>
      </c>
      <c r="CK2" s="31" t="s">
        <v>71</v>
      </c>
      <c r="CL2" s="31" t="s">
        <v>44</v>
      </c>
      <c r="CM2" s="32" t="s">
        <v>25</v>
      </c>
      <c r="CN2" s="32" t="s">
        <v>71</v>
      </c>
      <c r="CO2" s="32" t="s">
        <v>58</v>
      </c>
      <c r="CP2" s="32" t="s">
        <v>72</v>
      </c>
      <c r="CQ2" s="32" t="s">
        <v>44</v>
      </c>
      <c r="CR2" s="33" t="s">
        <v>25</v>
      </c>
      <c r="CS2" s="33" t="s">
        <v>46</v>
      </c>
      <c r="CT2" s="33" t="s">
        <v>73</v>
      </c>
      <c r="CU2" s="33" t="s">
        <v>74</v>
      </c>
      <c r="CV2" s="33" t="s">
        <v>75</v>
      </c>
      <c r="CW2" s="33" t="s">
        <v>48</v>
      </c>
      <c r="CX2" s="33" t="s">
        <v>76</v>
      </c>
      <c r="CY2" s="33" t="s">
        <v>77</v>
      </c>
      <c r="CZ2" s="33" t="s">
        <v>78</v>
      </c>
      <c r="DA2" s="33" t="s">
        <v>79</v>
      </c>
      <c r="DB2" s="33" t="s">
        <v>80</v>
      </c>
      <c r="DC2" s="33" t="s">
        <v>81</v>
      </c>
      <c r="DD2" s="33" t="s">
        <v>44</v>
      </c>
      <c r="DE2" s="24" t="s">
        <v>82</v>
      </c>
      <c r="DF2" s="24" t="s">
        <v>71</v>
      </c>
      <c r="DG2" s="24" t="s">
        <v>25</v>
      </c>
      <c r="DH2" s="25" t="s">
        <v>82</v>
      </c>
      <c r="DI2" s="24" t="s">
        <v>71</v>
      </c>
      <c r="DJ2" s="24" t="s">
        <v>25</v>
      </c>
      <c r="DK2" s="25" t="s">
        <v>82</v>
      </c>
      <c r="DL2" s="24" t="s">
        <v>71</v>
      </c>
      <c r="DM2" s="24" t="s">
        <v>25</v>
      </c>
      <c r="DN2" s="26" t="s">
        <v>83</v>
      </c>
      <c r="DO2" s="26" t="s">
        <v>84</v>
      </c>
      <c r="DP2" s="26" t="s">
        <v>85</v>
      </c>
      <c r="DQ2" s="26" t="s">
        <v>86</v>
      </c>
    </row>
    <row r="3" spans="1:121" ht="21">
      <c r="A3" s="6" t="s">
        <v>87</v>
      </c>
      <c r="B3" s="6">
        <v>1</v>
      </c>
      <c r="C3" s="6">
        <v>203.49</v>
      </c>
      <c r="D3" s="8" t="s">
        <v>88</v>
      </c>
      <c r="E3" s="7" t="s">
        <v>89</v>
      </c>
      <c r="F3" s="38">
        <v>46157</v>
      </c>
      <c r="G3" s="39" t="s">
        <v>90</v>
      </c>
      <c r="H3" s="39">
        <v>5</v>
      </c>
      <c r="I3" s="39">
        <v>8</v>
      </c>
      <c r="J3" s="39">
        <v>0.37</v>
      </c>
      <c r="K3" s="39">
        <v>19</v>
      </c>
      <c r="L3" s="39">
        <v>0.26</v>
      </c>
      <c r="M3" s="39">
        <v>5.6</v>
      </c>
      <c r="N3" s="39">
        <v>3.5</v>
      </c>
      <c r="O3" s="34">
        <v>100</v>
      </c>
      <c r="P3" s="34">
        <v>131</v>
      </c>
      <c r="Q3" s="34"/>
      <c r="R3" s="34">
        <v>100</v>
      </c>
      <c r="S3" s="34" t="s">
        <v>91</v>
      </c>
      <c r="T3" s="34" t="s">
        <v>91</v>
      </c>
      <c r="U3" s="34" t="s">
        <v>92</v>
      </c>
      <c r="V3" s="35">
        <v>46198</v>
      </c>
      <c r="W3" s="35">
        <v>46198</v>
      </c>
      <c r="X3" s="35">
        <v>46200</v>
      </c>
      <c r="Y3" s="34" t="s">
        <v>93</v>
      </c>
      <c r="Z3" s="34">
        <v>3</v>
      </c>
      <c r="AA3" s="34">
        <v>1</v>
      </c>
      <c r="AB3" s="34">
        <v>0.45</v>
      </c>
      <c r="AC3" s="34"/>
      <c r="AD3" s="34"/>
      <c r="AE3" s="34"/>
      <c r="AF3" s="34"/>
      <c r="AG3" s="34"/>
      <c r="AH3" s="40">
        <v>46158</v>
      </c>
      <c r="AI3" s="34" t="s">
        <v>93</v>
      </c>
      <c r="AN3" s="34" t="s">
        <v>94</v>
      </c>
      <c r="AO3" s="34" t="s">
        <v>95</v>
      </c>
      <c r="AP3" s="34">
        <v>3.6</v>
      </c>
      <c r="AQ3" s="35">
        <v>46167</v>
      </c>
      <c r="AR3" s="34" t="s">
        <v>96</v>
      </c>
      <c r="AS3" s="34" t="s">
        <v>97</v>
      </c>
      <c r="BJ3" s="17">
        <v>12.6</v>
      </c>
      <c r="BK3" s="17">
        <v>6</v>
      </c>
      <c r="BL3" s="34">
        <v>75</v>
      </c>
      <c r="BM3" s="34"/>
      <c r="BN3" s="34" t="s">
        <v>91</v>
      </c>
      <c r="BO3" s="35">
        <v>46198</v>
      </c>
      <c r="BP3" s="34" t="s">
        <v>93</v>
      </c>
      <c r="BQ3" s="34"/>
      <c r="BR3" s="35">
        <v>46200</v>
      </c>
      <c r="BS3" s="34">
        <v>50</v>
      </c>
      <c r="BT3" s="34" t="s">
        <v>92</v>
      </c>
      <c r="BU3" s="34"/>
      <c r="BV3" s="34" t="s">
        <v>93</v>
      </c>
      <c r="CI3" s="17">
        <f>+CE3+BY3+BS3+BL3</f>
        <v>125</v>
      </c>
      <c r="CM3" s="35">
        <v>46205</v>
      </c>
      <c r="CN3" s="34">
        <v>5</v>
      </c>
      <c r="CO3" s="34">
        <f>+C3-63.9-24-40</f>
        <v>75.59</v>
      </c>
      <c r="CP3" s="34" t="s">
        <v>98</v>
      </c>
      <c r="CQ3" s="34" t="s">
        <v>93</v>
      </c>
      <c r="CR3" s="35">
        <v>46205</v>
      </c>
      <c r="CS3" s="34">
        <v>1</v>
      </c>
      <c r="CT3" s="34"/>
      <c r="CU3" s="34"/>
      <c r="CV3" s="34"/>
      <c r="CW3" s="34"/>
      <c r="CX3" s="34"/>
      <c r="CY3" s="34"/>
      <c r="CZ3" s="34"/>
      <c r="DA3" s="34"/>
      <c r="DB3" s="34">
        <v>0.15</v>
      </c>
      <c r="DC3" s="34"/>
      <c r="DD3" s="34" t="s">
        <v>93</v>
      </c>
    </row>
    <row r="4" spans="1:121" ht="21" hidden="1">
      <c r="A4" s="6" t="s">
        <v>87</v>
      </c>
      <c r="B4" s="6">
        <v>2</v>
      </c>
      <c r="C4" s="6">
        <v>215</v>
      </c>
      <c r="D4" s="8" t="s">
        <v>99</v>
      </c>
      <c r="E4" s="7" t="s">
        <v>100</v>
      </c>
      <c r="AH4" s="18"/>
      <c r="AN4" s="34" t="s">
        <v>101</v>
      </c>
      <c r="AO4" s="34" t="s">
        <v>102</v>
      </c>
      <c r="AP4" s="34">
        <v>40</v>
      </c>
      <c r="AQ4" s="35">
        <v>46137</v>
      </c>
      <c r="AR4" s="34" t="s">
        <v>103</v>
      </c>
      <c r="AS4" s="34" t="s">
        <v>104</v>
      </c>
      <c r="CI4" s="17">
        <f t="shared" ref="CI4:CI61" si="0">+CE4+BY4+BS4+BL4</f>
        <v>0</v>
      </c>
      <c r="CR4" s="40">
        <v>46199</v>
      </c>
      <c r="CS4" s="34"/>
      <c r="CT4" s="34"/>
      <c r="CU4" s="34"/>
      <c r="CV4" s="34"/>
      <c r="CW4" s="34"/>
      <c r="CX4" s="34"/>
      <c r="CY4" s="34"/>
      <c r="CZ4" s="34"/>
      <c r="DA4" s="34"/>
      <c r="DB4" s="34"/>
      <c r="DC4" s="65">
        <v>0.04</v>
      </c>
      <c r="DD4" s="34" t="s">
        <v>93</v>
      </c>
    </row>
    <row r="5" spans="1:121" ht="21" hidden="1">
      <c r="A5" s="6" t="s">
        <v>87</v>
      </c>
      <c r="B5" s="6">
        <v>3</v>
      </c>
      <c r="C5" s="6">
        <v>46.12</v>
      </c>
      <c r="D5" s="8" t="s">
        <v>99</v>
      </c>
      <c r="E5" s="7" t="s">
        <v>100</v>
      </c>
      <c r="AH5" s="18"/>
      <c r="AN5" s="34" t="s">
        <v>101</v>
      </c>
      <c r="AO5" s="34" t="s">
        <v>102</v>
      </c>
      <c r="AP5" s="34">
        <v>40</v>
      </c>
      <c r="AQ5" s="35">
        <v>46137</v>
      </c>
      <c r="AR5" s="34" t="s">
        <v>103</v>
      </c>
      <c r="AS5" s="34" t="s">
        <v>104</v>
      </c>
      <c r="CI5" s="17">
        <f t="shared" si="0"/>
        <v>0</v>
      </c>
      <c r="CR5" s="40">
        <v>46199</v>
      </c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65">
        <v>0.04</v>
      </c>
      <c r="DD5" s="34" t="s">
        <v>93</v>
      </c>
    </row>
    <row r="6" spans="1:121" ht="21" hidden="1">
      <c r="A6" s="6" t="s">
        <v>87</v>
      </c>
      <c r="B6" s="6">
        <v>7</v>
      </c>
      <c r="C6" s="6">
        <v>24.03</v>
      </c>
      <c r="D6" s="8" t="s">
        <v>99</v>
      </c>
      <c r="E6" s="7" t="s">
        <v>100</v>
      </c>
      <c r="AH6" s="18"/>
      <c r="AN6" s="34" t="s">
        <v>101</v>
      </c>
      <c r="AO6" s="34" t="s">
        <v>102</v>
      </c>
      <c r="AP6" s="34">
        <v>40</v>
      </c>
      <c r="AQ6" s="35">
        <v>46137</v>
      </c>
      <c r="AR6" s="34" t="s">
        <v>103</v>
      </c>
      <c r="AS6" s="34" t="s">
        <v>104</v>
      </c>
      <c r="CI6" s="17">
        <f t="shared" si="0"/>
        <v>0</v>
      </c>
      <c r="CR6" s="40">
        <v>46199</v>
      </c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65">
        <v>0.04</v>
      </c>
      <c r="DD6" s="34" t="s">
        <v>93</v>
      </c>
    </row>
    <row r="7" spans="1:121" ht="21" hidden="1">
      <c r="A7" s="6" t="s">
        <v>87</v>
      </c>
      <c r="B7" s="6">
        <v>8</v>
      </c>
      <c r="C7" s="6">
        <v>22.55</v>
      </c>
      <c r="D7" s="8" t="s">
        <v>99</v>
      </c>
      <c r="E7" s="7" t="s">
        <v>100</v>
      </c>
      <c r="AH7" s="18"/>
      <c r="AN7" s="34" t="s">
        <v>101</v>
      </c>
      <c r="AO7" s="34" t="s">
        <v>102</v>
      </c>
      <c r="AP7" s="34">
        <v>40</v>
      </c>
      <c r="AQ7" s="35">
        <v>46137</v>
      </c>
      <c r="AR7" s="34" t="s">
        <v>103</v>
      </c>
      <c r="AS7" s="34" t="s">
        <v>104</v>
      </c>
      <c r="CI7" s="17">
        <f t="shared" si="0"/>
        <v>0</v>
      </c>
      <c r="CR7" s="40">
        <v>46199</v>
      </c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65">
        <v>0.04</v>
      </c>
      <c r="DD7" s="34" t="s">
        <v>93</v>
      </c>
    </row>
    <row r="8" spans="1:121" ht="21" hidden="1">
      <c r="A8" s="6" t="s">
        <v>87</v>
      </c>
      <c r="B8" s="6">
        <v>9</v>
      </c>
      <c r="C8" s="6">
        <v>62.73</v>
      </c>
      <c r="D8" s="8" t="s">
        <v>99</v>
      </c>
      <c r="E8" s="7" t="s">
        <v>100</v>
      </c>
      <c r="AH8" s="18"/>
      <c r="AN8" s="34" t="s">
        <v>101</v>
      </c>
      <c r="AO8" s="34" t="s">
        <v>102</v>
      </c>
      <c r="AP8" s="34">
        <v>40</v>
      </c>
      <c r="AQ8" s="35">
        <v>46137</v>
      </c>
      <c r="AR8" s="34" t="s">
        <v>103</v>
      </c>
      <c r="AS8" s="34" t="s">
        <v>104</v>
      </c>
      <c r="CI8" s="17">
        <f t="shared" si="0"/>
        <v>0</v>
      </c>
      <c r="CR8" s="40">
        <v>46199</v>
      </c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65">
        <v>0.04</v>
      </c>
      <c r="DD8" s="34" t="s">
        <v>93</v>
      </c>
    </row>
    <row r="9" spans="1:121" ht="21" hidden="1">
      <c r="A9" s="6" t="s">
        <v>87</v>
      </c>
      <c r="B9" s="6">
        <v>10</v>
      </c>
      <c r="C9" s="6">
        <v>29.7</v>
      </c>
      <c r="D9" s="8" t="s">
        <v>99</v>
      </c>
      <c r="E9" s="7" t="s">
        <v>100</v>
      </c>
      <c r="AH9" s="18"/>
      <c r="AN9" s="34" t="s">
        <v>101</v>
      </c>
      <c r="AO9" s="34" t="s">
        <v>102</v>
      </c>
      <c r="AP9" s="34">
        <v>40</v>
      </c>
      <c r="AQ9" s="35">
        <v>46137</v>
      </c>
      <c r="AR9" s="34" t="s">
        <v>103</v>
      </c>
      <c r="AS9" s="34" t="s">
        <v>104</v>
      </c>
      <c r="CI9" s="17">
        <f t="shared" si="0"/>
        <v>0</v>
      </c>
      <c r="CR9" s="40">
        <v>46199</v>
      </c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65">
        <v>0.04</v>
      </c>
      <c r="DD9" s="34" t="s">
        <v>93</v>
      </c>
    </row>
    <row r="10" spans="1:121" ht="21" hidden="1">
      <c r="A10" s="6" t="s">
        <v>87</v>
      </c>
      <c r="B10" s="6">
        <v>11</v>
      </c>
      <c r="C10" s="6">
        <v>270.44</v>
      </c>
      <c r="D10" s="8" t="s">
        <v>99</v>
      </c>
      <c r="E10" s="7" t="s">
        <v>100</v>
      </c>
      <c r="AH10" s="18"/>
      <c r="AN10" s="34" t="s">
        <v>101</v>
      </c>
      <c r="AO10" s="34" t="s">
        <v>102</v>
      </c>
      <c r="AP10" s="34">
        <v>40</v>
      </c>
      <c r="AQ10" s="35">
        <v>46137</v>
      </c>
      <c r="AR10" s="34" t="s">
        <v>103</v>
      </c>
      <c r="AS10" s="34" t="s">
        <v>104</v>
      </c>
      <c r="CI10" s="17">
        <f t="shared" si="0"/>
        <v>0</v>
      </c>
      <c r="CR10" s="40">
        <v>46199</v>
      </c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65">
        <v>0.04</v>
      </c>
      <c r="DD10" s="34" t="s">
        <v>93</v>
      </c>
    </row>
    <row r="11" spans="1:121" ht="21" hidden="1">
      <c r="A11" s="6" t="s">
        <v>87</v>
      </c>
      <c r="B11" s="6">
        <v>12</v>
      </c>
      <c r="C11" s="6">
        <v>64.25</v>
      </c>
      <c r="D11" s="8" t="s">
        <v>99</v>
      </c>
      <c r="E11" s="7" t="s">
        <v>100</v>
      </c>
      <c r="AH11" s="18"/>
      <c r="AN11" s="34" t="s">
        <v>101</v>
      </c>
      <c r="AO11" s="34" t="s">
        <v>102</v>
      </c>
      <c r="AP11" s="34">
        <v>40</v>
      </c>
      <c r="AQ11" s="35">
        <v>46137</v>
      </c>
      <c r="AR11" s="34" t="s">
        <v>103</v>
      </c>
      <c r="AS11" s="34" t="s">
        <v>104</v>
      </c>
      <c r="CI11" s="17">
        <f t="shared" si="0"/>
        <v>0</v>
      </c>
      <c r="CR11" s="40">
        <v>46199</v>
      </c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65">
        <v>0.04</v>
      </c>
      <c r="DD11" s="34" t="s">
        <v>93</v>
      </c>
    </row>
    <row r="12" spans="1:121" ht="21" hidden="1">
      <c r="A12" s="6" t="s">
        <v>87</v>
      </c>
      <c r="B12" s="6">
        <v>13</v>
      </c>
      <c r="C12" s="6">
        <v>29.89</v>
      </c>
      <c r="D12" s="8" t="s">
        <v>99</v>
      </c>
      <c r="E12" s="7" t="s">
        <v>100</v>
      </c>
      <c r="AH12" s="18"/>
      <c r="AN12" s="34" t="s">
        <v>101</v>
      </c>
      <c r="AO12" s="34" t="s">
        <v>102</v>
      </c>
      <c r="AP12" s="34">
        <v>40</v>
      </c>
      <c r="AQ12" s="35">
        <v>46137</v>
      </c>
      <c r="AR12" s="34" t="s">
        <v>103</v>
      </c>
      <c r="AS12" s="34" t="s">
        <v>104</v>
      </c>
      <c r="CI12" s="17">
        <f t="shared" si="0"/>
        <v>0</v>
      </c>
      <c r="CR12" s="40">
        <v>46199</v>
      </c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65">
        <v>0.04</v>
      </c>
      <c r="DD12" s="34" t="s">
        <v>93</v>
      </c>
    </row>
    <row r="13" spans="1:121" ht="21" hidden="1">
      <c r="A13" s="6" t="s">
        <v>105</v>
      </c>
      <c r="B13" s="6">
        <v>6</v>
      </c>
      <c r="C13" s="6">
        <v>52.63</v>
      </c>
      <c r="D13" s="8" t="s">
        <v>99</v>
      </c>
      <c r="E13" s="7" t="s">
        <v>100</v>
      </c>
      <c r="AH13" s="18"/>
      <c r="AN13" s="34" t="s">
        <v>101</v>
      </c>
      <c r="AO13" s="34" t="s">
        <v>102</v>
      </c>
      <c r="AP13" s="34">
        <v>40</v>
      </c>
      <c r="AQ13" s="35">
        <v>46139</v>
      </c>
      <c r="AR13" s="34" t="s">
        <v>103</v>
      </c>
      <c r="AS13" s="34" t="s">
        <v>104</v>
      </c>
      <c r="CI13" s="17">
        <f t="shared" si="0"/>
        <v>0</v>
      </c>
      <c r="CR13" s="40">
        <v>46210</v>
      </c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65">
        <v>0.04</v>
      </c>
      <c r="DD13" s="34" t="s">
        <v>93</v>
      </c>
    </row>
    <row r="14" spans="1:121" ht="21">
      <c r="A14" s="6" t="s">
        <v>105</v>
      </c>
      <c r="B14" s="6">
        <v>7</v>
      </c>
      <c r="C14" s="6">
        <v>60.61</v>
      </c>
      <c r="D14" s="8" t="s">
        <v>99</v>
      </c>
      <c r="E14" s="7" t="s">
        <v>106</v>
      </c>
      <c r="F14" s="19">
        <v>46175</v>
      </c>
      <c r="G14" s="17" t="s">
        <v>90</v>
      </c>
      <c r="H14" s="17">
        <v>9</v>
      </c>
      <c r="I14" s="17">
        <v>8</v>
      </c>
      <c r="J14" s="17">
        <v>0.27</v>
      </c>
      <c r="K14" s="17">
        <v>7</v>
      </c>
      <c r="L14" s="17">
        <v>0.4</v>
      </c>
      <c r="M14" s="17">
        <v>5.4</v>
      </c>
      <c r="N14" s="17">
        <v>3.6</v>
      </c>
      <c r="O14" s="34">
        <v>80</v>
      </c>
      <c r="P14" s="34">
        <v>100</v>
      </c>
      <c r="Q14" s="34"/>
      <c r="R14" s="34"/>
      <c r="S14" s="34" t="s">
        <v>91</v>
      </c>
      <c r="T14" s="34" t="s">
        <v>91</v>
      </c>
      <c r="U14" s="34"/>
      <c r="V14" s="35">
        <v>46189</v>
      </c>
      <c r="W14" s="35">
        <v>46189</v>
      </c>
      <c r="X14" s="34"/>
      <c r="Y14" s="34" t="s">
        <v>93</v>
      </c>
      <c r="Z14" s="34">
        <v>3</v>
      </c>
      <c r="AA14" s="34"/>
      <c r="AB14" s="34"/>
      <c r="AC14" s="34"/>
      <c r="AD14" s="34"/>
      <c r="AE14" s="34">
        <v>0.35</v>
      </c>
      <c r="AF14" s="34"/>
      <c r="AG14" s="34"/>
      <c r="AH14" s="40">
        <v>46174</v>
      </c>
      <c r="AI14" s="34" t="s">
        <v>93</v>
      </c>
      <c r="AN14" s="34" t="s">
        <v>107</v>
      </c>
      <c r="AO14" s="34" t="s">
        <v>95</v>
      </c>
      <c r="AP14" s="34">
        <v>135</v>
      </c>
      <c r="AQ14" s="35">
        <v>46176</v>
      </c>
      <c r="AR14" s="34" t="s">
        <v>93</v>
      </c>
      <c r="AS14" s="34" t="s">
        <v>108</v>
      </c>
      <c r="BJ14" s="17">
        <v>42</v>
      </c>
      <c r="BK14" s="17">
        <v>9</v>
      </c>
      <c r="BL14" s="34">
        <v>95</v>
      </c>
      <c r="BM14" s="34"/>
      <c r="BN14" s="34" t="s">
        <v>91</v>
      </c>
      <c r="BO14" s="35">
        <v>46190</v>
      </c>
      <c r="BP14" s="34" t="s">
        <v>93</v>
      </c>
      <c r="BQ14" s="17">
        <v>11</v>
      </c>
      <c r="BR14" s="17" t="s">
        <v>109</v>
      </c>
      <c r="BS14" s="17">
        <v>100</v>
      </c>
      <c r="CI14" s="17">
        <f t="shared" si="0"/>
        <v>195</v>
      </c>
      <c r="CM14" s="35">
        <v>46210</v>
      </c>
      <c r="CN14" s="34">
        <v>5</v>
      </c>
      <c r="CO14" s="34">
        <f>+C14</f>
        <v>60.61</v>
      </c>
      <c r="CP14" s="34" t="s">
        <v>110</v>
      </c>
      <c r="CQ14" s="34" t="s">
        <v>93</v>
      </c>
      <c r="CR14" s="35">
        <v>46210</v>
      </c>
      <c r="CS14" s="34"/>
      <c r="CT14" s="34"/>
      <c r="CU14" s="34"/>
      <c r="CV14" s="34"/>
      <c r="CW14" s="34"/>
      <c r="CX14" s="34"/>
      <c r="CY14" s="34">
        <v>0.24</v>
      </c>
      <c r="CZ14" s="34"/>
      <c r="DA14" s="34"/>
      <c r="DB14" s="34"/>
      <c r="DC14" s="34">
        <v>0.04</v>
      </c>
      <c r="DD14" s="34" t="s">
        <v>93</v>
      </c>
    </row>
    <row r="15" spans="1:121" ht="21">
      <c r="A15" s="6" t="s">
        <v>105</v>
      </c>
      <c r="B15" s="6">
        <v>11</v>
      </c>
      <c r="C15" s="6">
        <v>56.69</v>
      </c>
      <c r="D15" s="8" t="s">
        <v>99</v>
      </c>
      <c r="E15" s="7" t="s">
        <v>106</v>
      </c>
      <c r="F15" s="19">
        <v>46175</v>
      </c>
      <c r="G15" s="17" t="s">
        <v>90</v>
      </c>
      <c r="H15" s="17">
        <v>6</v>
      </c>
      <c r="I15" s="17">
        <v>8</v>
      </c>
      <c r="J15" s="17">
        <v>0.21</v>
      </c>
      <c r="K15" s="17">
        <v>6</v>
      </c>
      <c r="L15" s="17">
        <v>0.17</v>
      </c>
      <c r="M15" s="17">
        <v>5.2</v>
      </c>
      <c r="N15" s="17">
        <v>2.2999999999999998</v>
      </c>
      <c r="O15" s="34">
        <v>80</v>
      </c>
      <c r="P15" s="34">
        <v>100</v>
      </c>
      <c r="Q15" s="34"/>
      <c r="R15" s="34"/>
      <c r="S15" s="34" t="s">
        <v>91</v>
      </c>
      <c r="T15" s="34" t="s">
        <v>91</v>
      </c>
      <c r="U15" s="34"/>
      <c r="V15" s="35">
        <v>46189</v>
      </c>
      <c r="W15" s="35">
        <v>46189</v>
      </c>
      <c r="X15" s="34"/>
      <c r="Y15" s="34" t="s">
        <v>93</v>
      </c>
      <c r="Z15" s="34">
        <v>3</v>
      </c>
      <c r="AA15" s="34"/>
      <c r="AB15" s="34"/>
      <c r="AC15" s="34"/>
      <c r="AD15" s="34"/>
      <c r="AE15" s="34">
        <v>0.35</v>
      </c>
      <c r="AF15" s="34"/>
      <c r="AG15" s="34"/>
      <c r="AH15" s="40">
        <v>46174</v>
      </c>
      <c r="AI15" s="34" t="s">
        <v>93</v>
      </c>
      <c r="AN15" s="34" t="s">
        <v>107</v>
      </c>
      <c r="AO15" s="34" t="s">
        <v>95</v>
      </c>
      <c r="AP15" s="34">
        <v>135</v>
      </c>
      <c r="AQ15" s="35">
        <v>46172</v>
      </c>
      <c r="AR15" s="34" t="s">
        <v>93</v>
      </c>
      <c r="AS15" s="34" t="s">
        <v>108</v>
      </c>
      <c r="BJ15" s="17">
        <v>44</v>
      </c>
      <c r="BK15" s="17">
        <v>9</v>
      </c>
      <c r="BL15" s="34">
        <v>95</v>
      </c>
      <c r="BM15" s="34"/>
      <c r="BN15" s="34" t="s">
        <v>91</v>
      </c>
      <c r="BO15" s="35">
        <v>46190</v>
      </c>
      <c r="BP15" s="34" t="s">
        <v>93</v>
      </c>
      <c r="BQ15" s="17">
        <v>4</v>
      </c>
      <c r="BR15" s="17" t="s">
        <v>109</v>
      </c>
      <c r="BS15" s="17">
        <v>100</v>
      </c>
      <c r="CI15" s="17">
        <f t="shared" si="0"/>
        <v>195</v>
      </c>
      <c r="CR15" s="35">
        <v>46210</v>
      </c>
      <c r="CS15" s="34"/>
      <c r="CT15" s="34"/>
      <c r="CU15" s="34"/>
      <c r="CV15" s="34"/>
      <c r="CW15" s="34"/>
      <c r="CX15" s="34"/>
      <c r="CY15" s="34">
        <v>0.24</v>
      </c>
      <c r="CZ15" s="34"/>
      <c r="DA15" s="34"/>
      <c r="DB15" s="34"/>
      <c r="DC15" s="34">
        <v>0.04</v>
      </c>
      <c r="DD15" s="34" t="s">
        <v>93</v>
      </c>
    </row>
    <row r="16" spans="1:121" ht="21">
      <c r="A16" s="6" t="s">
        <v>105</v>
      </c>
      <c r="B16" s="6">
        <v>12</v>
      </c>
      <c r="C16" s="6">
        <v>49.78</v>
      </c>
      <c r="D16" s="8" t="s">
        <v>99</v>
      </c>
      <c r="E16" s="7" t="s">
        <v>106</v>
      </c>
      <c r="F16" s="19">
        <v>46175</v>
      </c>
      <c r="G16" s="17" t="s">
        <v>90</v>
      </c>
      <c r="H16" s="17">
        <v>6</v>
      </c>
      <c r="I16" s="17">
        <v>10</v>
      </c>
      <c r="J16" s="17">
        <v>0.22</v>
      </c>
      <c r="K16" s="17">
        <v>7</v>
      </c>
      <c r="L16" s="17">
        <v>0.22</v>
      </c>
      <c r="M16" s="17">
        <v>5.3</v>
      </c>
      <c r="N16" s="17">
        <v>2.2999999999999998</v>
      </c>
      <c r="O16" s="34">
        <v>80</v>
      </c>
      <c r="P16" s="34">
        <v>100</v>
      </c>
      <c r="Q16" s="34"/>
      <c r="R16" s="34"/>
      <c r="S16" s="34" t="s">
        <v>91</v>
      </c>
      <c r="T16" s="34" t="s">
        <v>91</v>
      </c>
      <c r="U16" s="34"/>
      <c r="V16" s="35">
        <v>46189</v>
      </c>
      <c r="W16" s="35">
        <v>46189</v>
      </c>
      <c r="X16" s="34"/>
      <c r="Y16" s="34" t="s">
        <v>93</v>
      </c>
      <c r="Z16" s="34">
        <v>3</v>
      </c>
      <c r="AA16" s="34"/>
      <c r="AB16" s="34"/>
      <c r="AC16" s="34"/>
      <c r="AD16" s="34"/>
      <c r="AE16" s="34">
        <v>0.35</v>
      </c>
      <c r="AF16" s="34"/>
      <c r="AG16" s="34"/>
      <c r="AH16" s="40">
        <v>46174</v>
      </c>
      <c r="AI16" s="34" t="s">
        <v>93</v>
      </c>
      <c r="AN16" s="34" t="s">
        <v>107</v>
      </c>
      <c r="AO16" s="34" t="s">
        <v>95</v>
      </c>
      <c r="AP16" s="34">
        <v>135</v>
      </c>
      <c r="AQ16" s="35">
        <v>46173</v>
      </c>
      <c r="AR16" s="34" t="s">
        <v>93</v>
      </c>
      <c r="AS16" s="34" t="s">
        <v>108</v>
      </c>
      <c r="BJ16" s="17">
        <v>45</v>
      </c>
      <c r="BK16" s="17">
        <v>9</v>
      </c>
      <c r="BL16" s="34">
        <v>95</v>
      </c>
      <c r="BM16" s="34"/>
      <c r="BN16" s="34" t="s">
        <v>91</v>
      </c>
      <c r="BO16" s="35">
        <v>46190</v>
      </c>
      <c r="BP16" s="34" t="s">
        <v>93</v>
      </c>
      <c r="BQ16" s="17">
        <v>7</v>
      </c>
      <c r="BR16" s="17" t="s">
        <v>109</v>
      </c>
      <c r="BS16" s="17">
        <v>100</v>
      </c>
      <c r="CI16" s="17">
        <f t="shared" si="0"/>
        <v>195</v>
      </c>
      <c r="CR16" s="35">
        <v>46210</v>
      </c>
      <c r="CS16" s="34"/>
      <c r="CT16" s="34"/>
      <c r="CU16" s="34"/>
      <c r="CV16" s="34"/>
      <c r="CW16" s="34"/>
      <c r="CX16" s="34"/>
      <c r="CY16" s="34">
        <v>0.24</v>
      </c>
      <c r="CZ16" s="34"/>
      <c r="DA16" s="34"/>
      <c r="DB16" s="34"/>
      <c r="DC16" s="34">
        <v>0.04</v>
      </c>
      <c r="DD16" s="34" t="s">
        <v>93</v>
      </c>
    </row>
    <row r="17" spans="1:108" ht="21">
      <c r="A17" s="6" t="s">
        <v>105</v>
      </c>
      <c r="B17" s="6">
        <v>13</v>
      </c>
      <c r="C17" s="6">
        <v>26.67</v>
      </c>
      <c r="D17" s="8" t="s">
        <v>99</v>
      </c>
      <c r="E17" s="7" t="s">
        <v>106</v>
      </c>
      <c r="F17" s="19">
        <v>46175</v>
      </c>
      <c r="G17" s="17" t="s">
        <v>90</v>
      </c>
      <c r="H17" s="17">
        <v>6</v>
      </c>
      <c r="I17" s="17">
        <v>7</v>
      </c>
      <c r="J17" s="17">
        <v>0.22</v>
      </c>
      <c r="K17" s="17">
        <v>6</v>
      </c>
      <c r="L17" s="17">
        <v>0.17</v>
      </c>
      <c r="M17" s="17">
        <v>5.3</v>
      </c>
      <c r="N17" s="17">
        <v>2.4</v>
      </c>
      <c r="O17" s="34">
        <v>80</v>
      </c>
      <c r="P17" s="34">
        <v>100</v>
      </c>
      <c r="Q17" s="34"/>
      <c r="R17" s="34"/>
      <c r="S17" s="34" t="s">
        <v>91</v>
      </c>
      <c r="T17" s="34" t="s">
        <v>91</v>
      </c>
      <c r="U17" s="34"/>
      <c r="V17" s="35">
        <v>46189</v>
      </c>
      <c r="W17" s="35">
        <v>46189</v>
      </c>
      <c r="X17" s="34"/>
      <c r="Y17" s="34" t="s">
        <v>93</v>
      </c>
      <c r="Z17" s="34">
        <v>3</v>
      </c>
      <c r="AA17" s="34"/>
      <c r="AB17" s="34"/>
      <c r="AC17" s="34"/>
      <c r="AD17" s="34"/>
      <c r="AE17" s="34">
        <v>0.35</v>
      </c>
      <c r="AF17" s="34"/>
      <c r="AG17" s="34"/>
      <c r="AH17" s="40">
        <v>46174</v>
      </c>
      <c r="AI17" s="34" t="s">
        <v>93</v>
      </c>
      <c r="AN17" s="34" t="s">
        <v>107</v>
      </c>
      <c r="AO17" s="34" t="s">
        <v>95</v>
      </c>
      <c r="AP17" s="34">
        <v>135</v>
      </c>
      <c r="AQ17" s="35">
        <v>46174</v>
      </c>
      <c r="AR17" s="34" t="s">
        <v>93</v>
      </c>
      <c r="AS17" s="34" t="s">
        <v>108</v>
      </c>
      <c r="BJ17" s="17">
        <v>43</v>
      </c>
      <c r="BK17" s="17">
        <v>9</v>
      </c>
      <c r="BL17" s="34">
        <v>95</v>
      </c>
      <c r="BM17" s="34"/>
      <c r="BN17" s="34" t="s">
        <v>91</v>
      </c>
      <c r="BO17" s="35">
        <v>46190</v>
      </c>
      <c r="BP17" s="34" t="s">
        <v>93</v>
      </c>
      <c r="BQ17" s="17">
        <v>8</v>
      </c>
      <c r="BR17" s="17" t="s">
        <v>109</v>
      </c>
      <c r="BS17" s="17">
        <v>100</v>
      </c>
      <c r="CI17" s="17">
        <f t="shared" si="0"/>
        <v>195</v>
      </c>
      <c r="CR17" s="35">
        <v>46210</v>
      </c>
      <c r="CS17" s="34"/>
      <c r="CT17" s="34"/>
      <c r="CU17" s="34"/>
      <c r="CV17" s="34"/>
      <c r="CW17" s="34"/>
      <c r="CX17" s="34"/>
      <c r="CY17" s="34">
        <v>0.24</v>
      </c>
      <c r="CZ17" s="34"/>
      <c r="DA17" s="34"/>
      <c r="DB17" s="34"/>
      <c r="DC17" s="34">
        <v>0.04</v>
      </c>
      <c r="DD17" s="34" t="s">
        <v>93</v>
      </c>
    </row>
    <row r="18" spans="1:108" ht="21">
      <c r="A18" s="6" t="s">
        <v>105</v>
      </c>
      <c r="B18" s="6">
        <v>14</v>
      </c>
      <c r="C18" s="6">
        <v>33.96</v>
      </c>
      <c r="D18" s="8" t="s">
        <v>99</v>
      </c>
      <c r="E18" s="7" t="s">
        <v>106</v>
      </c>
      <c r="F18" s="19">
        <v>46175</v>
      </c>
      <c r="G18" s="17" t="s">
        <v>90</v>
      </c>
      <c r="H18" s="17">
        <v>7</v>
      </c>
      <c r="I18" s="17">
        <v>10</v>
      </c>
      <c r="J18" s="17">
        <v>0.21</v>
      </c>
      <c r="K18" s="17">
        <v>5</v>
      </c>
      <c r="L18" s="17">
        <v>0.18</v>
      </c>
      <c r="M18" s="17">
        <v>5.3</v>
      </c>
      <c r="N18" s="17">
        <v>2.6</v>
      </c>
      <c r="O18" s="34">
        <v>80</v>
      </c>
      <c r="P18" s="34">
        <v>100</v>
      </c>
      <c r="Q18" s="34"/>
      <c r="R18" s="34"/>
      <c r="S18" s="34" t="s">
        <v>91</v>
      </c>
      <c r="T18" s="34" t="s">
        <v>91</v>
      </c>
      <c r="U18" s="34"/>
      <c r="V18" s="35">
        <v>46189</v>
      </c>
      <c r="W18" s="35">
        <v>46189</v>
      </c>
      <c r="X18" s="34"/>
      <c r="Y18" s="34" t="s">
        <v>93</v>
      </c>
      <c r="Z18" s="34">
        <v>3</v>
      </c>
      <c r="AA18" s="34"/>
      <c r="AB18" s="34"/>
      <c r="AC18" s="34"/>
      <c r="AD18" s="34"/>
      <c r="AE18" s="34">
        <v>0.35</v>
      </c>
      <c r="AF18" s="34"/>
      <c r="AG18" s="34"/>
      <c r="AH18" s="40">
        <v>46174</v>
      </c>
      <c r="AI18" s="34" t="s">
        <v>93</v>
      </c>
      <c r="AJ18" s="34"/>
      <c r="AK18" s="34" t="s">
        <v>111</v>
      </c>
      <c r="AL18" s="35">
        <v>46164</v>
      </c>
      <c r="AM18" s="34" t="s">
        <v>93</v>
      </c>
      <c r="AN18" s="41" t="s">
        <v>112</v>
      </c>
      <c r="AO18" s="68" t="s">
        <v>113</v>
      </c>
      <c r="AP18" s="34">
        <v>135</v>
      </c>
      <c r="AQ18" s="35">
        <v>46175</v>
      </c>
      <c r="AR18" s="34" t="s">
        <v>93</v>
      </c>
      <c r="AS18" s="34" t="s">
        <v>108</v>
      </c>
      <c r="BJ18" s="17">
        <v>43</v>
      </c>
      <c r="BK18" s="17">
        <v>9</v>
      </c>
      <c r="BL18" s="34">
        <v>95</v>
      </c>
      <c r="BM18" s="34"/>
      <c r="BN18" s="34" t="s">
        <v>91</v>
      </c>
      <c r="BO18" s="35">
        <v>46190</v>
      </c>
      <c r="BP18" s="34" t="s">
        <v>93</v>
      </c>
      <c r="BQ18" s="17">
        <v>8</v>
      </c>
      <c r="BR18" s="17" t="s">
        <v>109</v>
      </c>
      <c r="BS18" s="17">
        <v>100</v>
      </c>
      <c r="CI18" s="17">
        <f t="shared" si="0"/>
        <v>195</v>
      </c>
      <c r="CM18" s="35">
        <v>46210</v>
      </c>
      <c r="CN18" s="34">
        <v>5</v>
      </c>
      <c r="CO18" s="34">
        <f t="shared" ref="CO18" si="1">+C18</f>
        <v>33.96</v>
      </c>
      <c r="CP18" s="34" t="s">
        <v>110</v>
      </c>
      <c r="CQ18" s="34" t="s">
        <v>93</v>
      </c>
      <c r="CR18" s="35">
        <v>46210</v>
      </c>
      <c r="CS18" s="34"/>
      <c r="CT18" s="34"/>
      <c r="CU18" s="34"/>
      <c r="CV18" s="34"/>
      <c r="CW18" s="34"/>
      <c r="CX18" s="34"/>
      <c r="CY18" s="34">
        <v>0.24</v>
      </c>
      <c r="CZ18" s="34"/>
      <c r="DA18" s="34"/>
      <c r="DB18" s="34"/>
      <c r="DC18" s="34">
        <v>0.04</v>
      </c>
      <c r="DD18" s="34" t="s">
        <v>93</v>
      </c>
    </row>
    <row r="19" spans="1:108" ht="21">
      <c r="A19" s="6" t="s">
        <v>105</v>
      </c>
      <c r="B19" s="6">
        <v>16</v>
      </c>
      <c r="C19" s="6">
        <v>91.46</v>
      </c>
      <c r="D19" s="8" t="s">
        <v>99</v>
      </c>
      <c r="E19" s="7" t="s">
        <v>106</v>
      </c>
      <c r="F19" s="19">
        <v>46175</v>
      </c>
      <c r="G19" s="17" t="s">
        <v>90</v>
      </c>
      <c r="H19" s="17">
        <v>7</v>
      </c>
      <c r="I19" s="17">
        <v>9</v>
      </c>
      <c r="J19" s="17">
        <v>0.28999999999999998</v>
      </c>
      <c r="K19" s="17">
        <v>6</v>
      </c>
      <c r="L19" s="17">
        <v>0.2</v>
      </c>
      <c r="M19" s="17">
        <v>5.6</v>
      </c>
      <c r="N19" s="17">
        <v>2.4</v>
      </c>
      <c r="O19" s="34">
        <v>80</v>
      </c>
      <c r="P19" s="34">
        <v>100</v>
      </c>
      <c r="Q19" s="34"/>
      <c r="R19" s="34"/>
      <c r="S19" s="34" t="s">
        <v>91</v>
      </c>
      <c r="T19" s="34" t="s">
        <v>91</v>
      </c>
      <c r="U19" s="34"/>
      <c r="V19" s="35">
        <v>46189</v>
      </c>
      <c r="W19" s="35">
        <v>46189</v>
      </c>
      <c r="X19" s="34"/>
      <c r="Y19" s="34" t="s">
        <v>93</v>
      </c>
      <c r="Z19" s="34">
        <v>3</v>
      </c>
      <c r="AA19" s="34"/>
      <c r="AB19" s="34"/>
      <c r="AC19" s="34"/>
      <c r="AD19" s="34"/>
      <c r="AE19" s="34">
        <v>0.35</v>
      </c>
      <c r="AF19" s="34"/>
      <c r="AG19" s="34"/>
      <c r="AH19" s="40">
        <v>46174</v>
      </c>
      <c r="AI19" s="34" t="s">
        <v>93</v>
      </c>
      <c r="AJ19" s="34"/>
      <c r="AK19" s="34">
        <v>2.5</v>
      </c>
      <c r="AL19" s="35">
        <v>46164</v>
      </c>
      <c r="AM19" s="34" t="s">
        <v>93</v>
      </c>
      <c r="AN19" s="41" t="s">
        <v>114</v>
      </c>
      <c r="AO19" s="68" t="s">
        <v>115</v>
      </c>
      <c r="AP19" s="34">
        <v>135</v>
      </c>
      <c r="AQ19" s="35">
        <v>46176</v>
      </c>
      <c r="AR19" s="34" t="s">
        <v>93</v>
      </c>
      <c r="AS19" s="34" t="s">
        <v>108</v>
      </c>
      <c r="BJ19" s="17">
        <v>42</v>
      </c>
      <c r="BK19" s="17">
        <v>9</v>
      </c>
      <c r="BL19" s="34">
        <v>95</v>
      </c>
      <c r="BM19" s="34"/>
      <c r="BN19" s="34" t="s">
        <v>91</v>
      </c>
      <c r="BO19" s="35">
        <v>46190</v>
      </c>
      <c r="BP19" s="34" t="s">
        <v>93</v>
      </c>
      <c r="BQ19" s="17">
        <v>7</v>
      </c>
      <c r="BR19" s="17" t="s">
        <v>109</v>
      </c>
      <c r="BS19" s="17">
        <v>100</v>
      </c>
      <c r="CI19" s="17">
        <f t="shared" si="0"/>
        <v>195</v>
      </c>
      <c r="CM19" s="35">
        <v>46210</v>
      </c>
      <c r="CN19" s="34">
        <v>5</v>
      </c>
      <c r="CO19" s="34">
        <f>91.46-15</f>
        <v>76.459999999999994</v>
      </c>
      <c r="CP19" s="34" t="s">
        <v>116</v>
      </c>
      <c r="CQ19" s="34" t="s">
        <v>93</v>
      </c>
      <c r="CR19" s="35">
        <v>46210</v>
      </c>
      <c r="CS19" s="34"/>
      <c r="CT19" s="34"/>
      <c r="CU19" s="34"/>
      <c r="CV19" s="34"/>
      <c r="CW19" s="34"/>
      <c r="CX19" s="34"/>
      <c r="CY19" s="34">
        <v>0.24</v>
      </c>
      <c r="CZ19" s="34"/>
      <c r="DA19" s="34"/>
      <c r="DB19" s="34"/>
      <c r="DC19" s="34">
        <v>0.04</v>
      </c>
      <c r="DD19" s="34" t="s">
        <v>93</v>
      </c>
    </row>
    <row r="20" spans="1:108" ht="21">
      <c r="A20" s="6" t="s">
        <v>117</v>
      </c>
      <c r="B20" s="6">
        <v>1</v>
      </c>
      <c r="C20" s="6">
        <v>58.59</v>
      </c>
      <c r="D20" s="8" t="s">
        <v>88</v>
      </c>
      <c r="E20" s="7" t="s">
        <v>89</v>
      </c>
      <c r="F20" s="38">
        <v>46157</v>
      </c>
      <c r="G20" s="39" t="s">
        <v>90</v>
      </c>
      <c r="H20" s="39">
        <v>5</v>
      </c>
      <c r="I20" s="39">
        <v>19</v>
      </c>
      <c r="J20" s="39">
        <v>0.21</v>
      </c>
      <c r="K20" s="39">
        <v>10</v>
      </c>
      <c r="L20" s="39">
        <v>0.33</v>
      </c>
      <c r="M20" s="39">
        <v>5.6</v>
      </c>
      <c r="N20" s="39">
        <v>2.6</v>
      </c>
      <c r="O20" s="34">
        <v>70</v>
      </c>
      <c r="P20" s="34">
        <v>150</v>
      </c>
      <c r="Q20" s="34"/>
      <c r="R20" s="34">
        <v>110</v>
      </c>
      <c r="S20" s="34" t="s">
        <v>91</v>
      </c>
      <c r="T20" s="34" t="s">
        <v>91</v>
      </c>
      <c r="U20" s="34" t="s">
        <v>92</v>
      </c>
      <c r="V20" s="35">
        <v>46172</v>
      </c>
      <c r="W20" s="35">
        <v>46172</v>
      </c>
      <c r="X20" s="35">
        <v>46205</v>
      </c>
      <c r="Y20" s="34" t="s">
        <v>118</v>
      </c>
      <c r="Z20" s="34">
        <v>3</v>
      </c>
      <c r="AA20" s="34">
        <v>1</v>
      </c>
      <c r="AB20" s="34">
        <v>0.45</v>
      </c>
      <c r="AC20" s="34"/>
      <c r="AD20" s="34"/>
      <c r="AE20" s="34"/>
      <c r="AF20" s="34"/>
      <c r="AG20" s="34"/>
      <c r="AH20" s="40">
        <v>46159</v>
      </c>
      <c r="AI20" s="34" t="s">
        <v>96</v>
      </c>
      <c r="AN20" s="34" t="s">
        <v>94</v>
      </c>
      <c r="AO20" s="34" t="s">
        <v>95</v>
      </c>
      <c r="AP20" s="34">
        <v>3.8</v>
      </c>
      <c r="AQ20" s="35">
        <v>46160</v>
      </c>
      <c r="AR20" s="34" t="s">
        <v>119</v>
      </c>
      <c r="AS20" s="34" t="s">
        <v>120</v>
      </c>
      <c r="BJ20" s="17">
        <v>19</v>
      </c>
      <c r="BK20" s="17">
        <v>9</v>
      </c>
      <c r="BL20" s="34">
        <v>110</v>
      </c>
      <c r="BM20" s="34"/>
      <c r="BN20" s="34" t="s">
        <v>91</v>
      </c>
      <c r="BO20" s="35">
        <v>46172</v>
      </c>
      <c r="BP20" s="34" t="s">
        <v>93</v>
      </c>
      <c r="BQ20" s="34"/>
      <c r="BR20" s="35">
        <v>46205</v>
      </c>
      <c r="BS20" s="34">
        <v>110</v>
      </c>
      <c r="BT20" s="34" t="s">
        <v>92</v>
      </c>
      <c r="BU20" s="34"/>
      <c r="BV20" s="34" t="s">
        <v>103</v>
      </c>
      <c r="CI20" s="17">
        <f t="shared" si="0"/>
        <v>220</v>
      </c>
      <c r="CR20" s="35">
        <v>46199</v>
      </c>
      <c r="CS20" s="34"/>
      <c r="CT20" s="34">
        <v>0.5</v>
      </c>
      <c r="CU20" s="34"/>
      <c r="CV20" s="34"/>
      <c r="CW20" s="34"/>
      <c r="CX20" s="34"/>
      <c r="CY20" s="34"/>
      <c r="CZ20" s="34"/>
      <c r="DA20" s="34"/>
      <c r="DB20" s="34"/>
      <c r="DC20" s="34"/>
      <c r="DD20" s="34" t="s">
        <v>96</v>
      </c>
    </row>
    <row r="21" spans="1:108" ht="21">
      <c r="A21" s="6" t="s">
        <v>117</v>
      </c>
      <c r="B21" s="6">
        <v>2</v>
      </c>
      <c r="C21" s="6">
        <v>40.99</v>
      </c>
      <c r="D21" s="8" t="s">
        <v>88</v>
      </c>
      <c r="E21" s="7" t="s">
        <v>89</v>
      </c>
      <c r="F21" s="38">
        <v>46157</v>
      </c>
      <c r="G21" s="39" t="s">
        <v>90</v>
      </c>
      <c r="H21" s="39">
        <v>4</v>
      </c>
      <c r="I21" s="39">
        <v>14</v>
      </c>
      <c r="J21" s="39">
        <v>0.24</v>
      </c>
      <c r="K21" s="39">
        <v>11</v>
      </c>
      <c r="L21" s="39">
        <v>0.48</v>
      </c>
      <c r="M21" s="39">
        <v>5.3</v>
      </c>
      <c r="N21" s="39">
        <v>2.2999999999999998</v>
      </c>
      <c r="O21" s="34">
        <v>70</v>
      </c>
      <c r="P21" s="34">
        <v>150</v>
      </c>
      <c r="Q21" s="34"/>
      <c r="R21" s="34">
        <v>110</v>
      </c>
      <c r="S21" s="34" t="s">
        <v>91</v>
      </c>
      <c r="T21" s="34" t="s">
        <v>91</v>
      </c>
      <c r="U21" s="34" t="s">
        <v>92</v>
      </c>
      <c r="V21" s="35">
        <v>46172</v>
      </c>
      <c r="W21" s="35">
        <v>46172</v>
      </c>
      <c r="X21" s="35">
        <v>46205</v>
      </c>
      <c r="Y21" s="34" t="s">
        <v>118</v>
      </c>
      <c r="Z21" s="34">
        <v>3</v>
      </c>
      <c r="AA21" s="34">
        <v>1</v>
      </c>
      <c r="AB21" s="34">
        <v>0.45</v>
      </c>
      <c r="AC21" s="34"/>
      <c r="AD21" s="34"/>
      <c r="AE21" s="34"/>
      <c r="AF21" s="34"/>
      <c r="AG21" s="34"/>
      <c r="AH21" s="40">
        <v>46159</v>
      </c>
      <c r="AI21" s="34" t="s">
        <v>96</v>
      </c>
      <c r="AN21" s="34" t="s">
        <v>94</v>
      </c>
      <c r="AO21" s="34" t="s">
        <v>95</v>
      </c>
      <c r="AP21" s="34">
        <v>3.8</v>
      </c>
      <c r="AQ21" s="35">
        <v>46162</v>
      </c>
      <c r="AR21" s="34" t="s">
        <v>119</v>
      </c>
      <c r="AS21" s="34" t="s">
        <v>120</v>
      </c>
      <c r="BJ21" s="17">
        <v>19.600000000000001</v>
      </c>
      <c r="BK21" s="17">
        <v>9</v>
      </c>
      <c r="BL21" s="34">
        <v>110</v>
      </c>
      <c r="BM21" s="34"/>
      <c r="BN21" s="34" t="s">
        <v>91</v>
      </c>
      <c r="BO21" s="35">
        <v>46172</v>
      </c>
      <c r="BP21" s="34" t="s">
        <v>93</v>
      </c>
      <c r="BQ21" s="34"/>
      <c r="BR21" s="35">
        <v>46205</v>
      </c>
      <c r="BS21" s="34">
        <v>110</v>
      </c>
      <c r="BT21" s="34" t="s">
        <v>92</v>
      </c>
      <c r="BU21" s="34"/>
      <c r="BV21" s="34" t="s">
        <v>103</v>
      </c>
      <c r="CI21" s="17">
        <f t="shared" si="0"/>
        <v>220</v>
      </c>
      <c r="CM21" s="35">
        <v>46199</v>
      </c>
      <c r="CN21" s="34">
        <v>5</v>
      </c>
      <c r="CO21" s="34">
        <f>+C21</f>
        <v>40.99</v>
      </c>
      <c r="CP21" s="34" t="s">
        <v>110</v>
      </c>
      <c r="CQ21" s="34" t="s">
        <v>96</v>
      </c>
    </row>
    <row r="22" spans="1:108" ht="21">
      <c r="A22" s="6" t="s">
        <v>117</v>
      </c>
      <c r="B22" s="6">
        <v>3</v>
      </c>
      <c r="C22" s="6">
        <v>63.11</v>
      </c>
      <c r="D22" s="8" t="s">
        <v>88</v>
      </c>
      <c r="E22" s="7" t="s">
        <v>89</v>
      </c>
      <c r="F22" s="38">
        <v>46157</v>
      </c>
      <c r="G22" s="39" t="s">
        <v>90</v>
      </c>
      <c r="H22" s="39">
        <v>4</v>
      </c>
      <c r="I22" s="39">
        <v>15</v>
      </c>
      <c r="J22" s="39">
        <v>0.23</v>
      </c>
      <c r="K22" s="39">
        <v>12</v>
      </c>
      <c r="L22" s="39">
        <v>0.66</v>
      </c>
      <c r="M22" s="39">
        <v>5.3</v>
      </c>
      <c r="N22" s="39">
        <v>2.5</v>
      </c>
      <c r="O22" s="34">
        <v>70</v>
      </c>
      <c r="P22" s="34">
        <v>150</v>
      </c>
      <c r="Q22" s="34"/>
      <c r="R22" s="34">
        <v>110</v>
      </c>
      <c r="S22" s="34" t="s">
        <v>91</v>
      </c>
      <c r="T22" s="34" t="s">
        <v>91</v>
      </c>
      <c r="U22" s="34" t="s">
        <v>92</v>
      </c>
      <c r="V22" s="35">
        <v>46172</v>
      </c>
      <c r="W22" s="35">
        <v>46172</v>
      </c>
      <c r="X22" s="35">
        <v>46205</v>
      </c>
      <c r="Y22" s="34" t="s">
        <v>118</v>
      </c>
      <c r="Z22" s="34">
        <v>3</v>
      </c>
      <c r="AA22" s="34">
        <v>1</v>
      </c>
      <c r="AB22" s="34">
        <v>0.45</v>
      </c>
      <c r="AC22" s="34"/>
      <c r="AD22" s="34"/>
      <c r="AE22" s="34"/>
      <c r="AF22" s="34"/>
      <c r="AG22" s="34"/>
      <c r="AH22" s="40">
        <v>46159</v>
      </c>
      <c r="AI22" s="34" t="s">
        <v>96</v>
      </c>
      <c r="AN22" s="34" t="s">
        <v>121</v>
      </c>
      <c r="AO22" s="34" t="s">
        <v>95</v>
      </c>
      <c r="AP22" s="34">
        <v>4</v>
      </c>
      <c r="AQ22" s="35">
        <v>46160</v>
      </c>
      <c r="AR22" s="34" t="s">
        <v>119</v>
      </c>
      <c r="AS22" s="34" t="s">
        <v>120</v>
      </c>
      <c r="BJ22" s="17">
        <v>19.329999999999998</v>
      </c>
      <c r="BK22" s="17">
        <v>9</v>
      </c>
      <c r="BL22" s="34">
        <v>110</v>
      </c>
      <c r="BM22" s="34"/>
      <c r="BN22" s="34" t="s">
        <v>91</v>
      </c>
      <c r="BO22" s="35">
        <v>46172</v>
      </c>
      <c r="BP22" s="34" t="s">
        <v>93</v>
      </c>
      <c r="BQ22" s="34"/>
      <c r="BR22" s="35">
        <v>46205</v>
      </c>
      <c r="BS22" s="34">
        <v>110</v>
      </c>
      <c r="BT22" s="34" t="s">
        <v>92</v>
      </c>
      <c r="BU22" s="34"/>
      <c r="BV22" s="34" t="s">
        <v>103</v>
      </c>
      <c r="CI22" s="17">
        <f t="shared" si="0"/>
        <v>220</v>
      </c>
      <c r="CM22" s="35">
        <v>46199</v>
      </c>
      <c r="CN22" s="34">
        <v>5</v>
      </c>
      <c r="CO22" s="34">
        <f t="shared" ref="CO22" si="2">+C22</f>
        <v>63.11</v>
      </c>
      <c r="CP22" s="34" t="s">
        <v>110</v>
      </c>
      <c r="CQ22" s="34" t="s">
        <v>96</v>
      </c>
      <c r="CR22" s="35">
        <v>46199</v>
      </c>
      <c r="CS22" s="34" t="s">
        <v>122</v>
      </c>
      <c r="CT22" s="34"/>
      <c r="CU22" s="34"/>
      <c r="CV22" s="34"/>
      <c r="CW22" s="34"/>
      <c r="CX22" s="34"/>
      <c r="CY22" s="34"/>
      <c r="CZ22" s="34"/>
      <c r="DA22" s="34"/>
      <c r="DB22" s="34">
        <v>0.2</v>
      </c>
      <c r="DC22" s="34"/>
      <c r="DD22" s="34" t="s">
        <v>96</v>
      </c>
    </row>
    <row r="23" spans="1:108" ht="21">
      <c r="A23" s="6" t="s">
        <v>117</v>
      </c>
      <c r="B23" s="6">
        <v>4</v>
      </c>
      <c r="C23" s="6">
        <v>71.48</v>
      </c>
      <c r="D23" s="8" t="s">
        <v>88</v>
      </c>
      <c r="E23" s="7" t="s">
        <v>89</v>
      </c>
      <c r="F23" s="38">
        <v>46157</v>
      </c>
      <c r="G23" s="39" t="s">
        <v>90</v>
      </c>
      <c r="H23" s="39">
        <v>4</v>
      </c>
      <c r="I23" s="39">
        <v>11</v>
      </c>
      <c r="J23" s="39">
        <v>0.23</v>
      </c>
      <c r="K23" s="39">
        <v>9</v>
      </c>
      <c r="L23" s="39">
        <v>0.35</v>
      </c>
      <c r="M23" s="39">
        <v>5.3</v>
      </c>
      <c r="N23" s="39">
        <v>2.4</v>
      </c>
      <c r="O23" s="34">
        <v>70</v>
      </c>
      <c r="P23" s="34">
        <v>150</v>
      </c>
      <c r="Q23" s="34"/>
      <c r="R23" s="34">
        <v>110</v>
      </c>
      <c r="S23" s="34" t="s">
        <v>91</v>
      </c>
      <c r="T23" s="34" t="s">
        <v>91</v>
      </c>
      <c r="U23" s="34" t="s">
        <v>92</v>
      </c>
      <c r="V23" s="35">
        <v>46172</v>
      </c>
      <c r="W23" s="35">
        <v>46172</v>
      </c>
      <c r="X23" s="35">
        <v>46205</v>
      </c>
      <c r="Y23" s="34" t="s">
        <v>118</v>
      </c>
      <c r="Z23" s="34">
        <v>3</v>
      </c>
      <c r="AA23" s="34">
        <v>1</v>
      </c>
      <c r="AB23" s="34">
        <v>0.45</v>
      </c>
      <c r="AC23" s="34"/>
      <c r="AD23" s="34"/>
      <c r="AE23" s="34"/>
      <c r="AF23" s="34"/>
      <c r="AG23" s="34"/>
      <c r="AH23" s="40">
        <v>46159</v>
      </c>
      <c r="AI23" s="34" t="s">
        <v>96</v>
      </c>
      <c r="AL23" s="19"/>
      <c r="AN23" s="34" t="s">
        <v>123</v>
      </c>
      <c r="AO23" s="34" t="s">
        <v>95</v>
      </c>
      <c r="AP23" s="34">
        <v>4</v>
      </c>
      <c r="AQ23" s="35">
        <v>46158</v>
      </c>
      <c r="AR23" s="34" t="s">
        <v>119</v>
      </c>
      <c r="AS23" s="34" t="s">
        <v>120</v>
      </c>
      <c r="BJ23" s="17">
        <v>19.25</v>
      </c>
      <c r="BK23" s="17">
        <v>9</v>
      </c>
      <c r="BL23" s="34">
        <v>110</v>
      </c>
      <c r="BM23" s="34"/>
      <c r="BN23" s="34" t="s">
        <v>91</v>
      </c>
      <c r="BO23" s="35">
        <v>46172</v>
      </c>
      <c r="BP23" s="34" t="s">
        <v>93</v>
      </c>
      <c r="BQ23" s="34"/>
      <c r="BR23" s="35">
        <v>46205</v>
      </c>
      <c r="BS23" s="34">
        <v>110</v>
      </c>
      <c r="BT23" s="34" t="s">
        <v>92</v>
      </c>
      <c r="BU23" s="34"/>
      <c r="BV23" s="34" t="s">
        <v>103</v>
      </c>
      <c r="CI23" s="17">
        <f t="shared" si="0"/>
        <v>220</v>
      </c>
      <c r="CR23" s="35">
        <v>46199</v>
      </c>
      <c r="CS23" s="34">
        <v>1</v>
      </c>
      <c r="CT23" s="34"/>
      <c r="CU23" s="34"/>
      <c r="CV23" s="34"/>
      <c r="CW23" s="34"/>
      <c r="CX23" s="34"/>
      <c r="CY23" s="34"/>
      <c r="CZ23" s="34"/>
      <c r="DA23" s="34"/>
      <c r="DB23" s="34">
        <v>0.15</v>
      </c>
      <c r="DC23" s="34"/>
      <c r="DD23" s="34" t="s">
        <v>96</v>
      </c>
    </row>
    <row r="24" spans="1:108" ht="21" hidden="1">
      <c r="A24" s="6" t="s">
        <v>117</v>
      </c>
      <c r="B24" s="6">
        <v>5</v>
      </c>
      <c r="C24" s="6">
        <v>67.739999999999995</v>
      </c>
      <c r="D24" s="8" t="s">
        <v>99</v>
      </c>
      <c r="E24" s="7" t="s">
        <v>100</v>
      </c>
      <c r="AH24" s="18"/>
      <c r="AN24" s="34" t="s">
        <v>101</v>
      </c>
      <c r="AO24" s="34" t="s">
        <v>102</v>
      </c>
      <c r="AP24" s="34">
        <v>80</v>
      </c>
      <c r="AQ24" s="35">
        <v>46135</v>
      </c>
      <c r="AR24" s="34" t="s">
        <v>103</v>
      </c>
      <c r="AS24" s="34" t="s">
        <v>104</v>
      </c>
      <c r="CI24" s="17">
        <f t="shared" si="0"/>
        <v>0</v>
      </c>
      <c r="CR24" s="35">
        <v>46200</v>
      </c>
      <c r="CS24" s="34"/>
      <c r="CT24" s="34"/>
      <c r="CU24" s="34"/>
      <c r="CV24" s="34"/>
      <c r="CW24" s="34"/>
      <c r="CX24" s="34"/>
      <c r="CY24" s="34"/>
      <c r="CZ24" s="34"/>
      <c r="DA24" s="34"/>
      <c r="DB24" s="34"/>
      <c r="DC24" s="65">
        <v>0.04</v>
      </c>
      <c r="DD24" s="34" t="s">
        <v>96</v>
      </c>
    </row>
    <row r="25" spans="1:108" ht="21" hidden="1">
      <c r="A25" s="6" t="s">
        <v>117</v>
      </c>
      <c r="B25" s="6">
        <v>6</v>
      </c>
      <c r="C25" s="6">
        <v>24.52</v>
      </c>
      <c r="D25" s="8" t="s">
        <v>99</v>
      </c>
      <c r="E25" s="7" t="s">
        <v>100</v>
      </c>
      <c r="AH25" s="18"/>
      <c r="AN25" s="34" t="s">
        <v>101</v>
      </c>
      <c r="AO25" s="34" t="s">
        <v>102</v>
      </c>
      <c r="AP25" s="34">
        <v>80</v>
      </c>
      <c r="AQ25" s="35">
        <v>46135</v>
      </c>
      <c r="AR25" s="34" t="s">
        <v>103</v>
      </c>
      <c r="AS25" s="34" t="s">
        <v>104</v>
      </c>
      <c r="CI25" s="17">
        <f t="shared" si="0"/>
        <v>0</v>
      </c>
      <c r="CR25" s="35">
        <v>46200</v>
      </c>
      <c r="CS25" s="34"/>
      <c r="CT25" s="34"/>
      <c r="CU25" s="34"/>
      <c r="CV25" s="34"/>
      <c r="CW25" s="34"/>
      <c r="CX25" s="34"/>
      <c r="CY25" s="34"/>
      <c r="CZ25" s="34"/>
      <c r="DA25" s="34"/>
      <c r="DB25" s="34"/>
      <c r="DC25" s="65">
        <v>0.04</v>
      </c>
      <c r="DD25" s="34" t="s">
        <v>96</v>
      </c>
    </row>
    <row r="26" spans="1:108" ht="21">
      <c r="A26" s="6" t="s">
        <v>117</v>
      </c>
      <c r="B26" s="6">
        <v>11</v>
      </c>
      <c r="C26" s="6">
        <v>31</v>
      </c>
      <c r="D26" s="8" t="s">
        <v>88</v>
      </c>
      <c r="E26" s="7" t="s">
        <v>89</v>
      </c>
      <c r="F26" s="38">
        <v>46157</v>
      </c>
      <c r="G26" s="39" t="s">
        <v>90</v>
      </c>
      <c r="H26" s="39">
        <v>5</v>
      </c>
      <c r="I26" s="39">
        <v>4</v>
      </c>
      <c r="J26" s="39">
        <v>0.28999999999999998</v>
      </c>
      <c r="K26" s="39">
        <v>10</v>
      </c>
      <c r="L26" s="39">
        <v>0.67</v>
      </c>
      <c r="M26" s="39">
        <v>5.4</v>
      </c>
      <c r="N26" s="39">
        <v>3.7</v>
      </c>
      <c r="O26" s="34">
        <v>70</v>
      </c>
      <c r="P26" s="34">
        <v>150</v>
      </c>
      <c r="Q26" s="34"/>
      <c r="R26" s="34">
        <v>110</v>
      </c>
      <c r="S26" s="34" t="s">
        <v>91</v>
      </c>
      <c r="T26" s="34" t="s">
        <v>91</v>
      </c>
      <c r="U26" s="34" t="s">
        <v>92</v>
      </c>
      <c r="V26" s="35">
        <v>46172</v>
      </c>
      <c r="W26" s="35">
        <v>46172</v>
      </c>
      <c r="X26" s="35">
        <v>46205</v>
      </c>
      <c r="Y26" s="34" t="s">
        <v>118</v>
      </c>
      <c r="Z26" s="34">
        <v>3</v>
      </c>
      <c r="AA26" s="34">
        <v>1</v>
      </c>
      <c r="AB26" s="34">
        <v>0.45</v>
      </c>
      <c r="AC26" s="34"/>
      <c r="AD26" s="34"/>
      <c r="AE26" s="34"/>
      <c r="AF26" s="34"/>
      <c r="AG26" s="34"/>
      <c r="AH26" s="40">
        <v>46159</v>
      </c>
      <c r="AI26" s="34" t="s">
        <v>96</v>
      </c>
      <c r="AN26" s="34" t="s">
        <v>123</v>
      </c>
      <c r="AO26" s="34" t="s">
        <v>95</v>
      </c>
      <c r="AP26" s="34">
        <v>4</v>
      </c>
      <c r="AQ26" s="35">
        <v>46159</v>
      </c>
      <c r="AR26" s="34" t="s">
        <v>119</v>
      </c>
      <c r="AS26" s="34" t="s">
        <v>120</v>
      </c>
      <c r="BJ26" s="17">
        <v>18.5</v>
      </c>
      <c r="BK26" s="17">
        <v>9</v>
      </c>
      <c r="BL26" s="34">
        <v>110</v>
      </c>
      <c r="BM26" s="34"/>
      <c r="BN26" s="34" t="s">
        <v>91</v>
      </c>
      <c r="BO26" s="35">
        <v>46172</v>
      </c>
      <c r="BP26" s="34" t="s">
        <v>93</v>
      </c>
      <c r="BQ26" s="34"/>
      <c r="BR26" s="35">
        <v>46205</v>
      </c>
      <c r="BS26" s="34">
        <v>110</v>
      </c>
      <c r="BT26" s="34" t="s">
        <v>92</v>
      </c>
      <c r="BU26" s="34"/>
      <c r="BV26" s="34" t="s">
        <v>103</v>
      </c>
      <c r="CI26" s="17">
        <f t="shared" si="0"/>
        <v>220</v>
      </c>
    </row>
    <row r="27" spans="1:108" ht="21" hidden="1">
      <c r="A27" s="6" t="s">
        <v>117</v>
      </c>
      <c r="B27" s="6">
        <v>12</v>
      </c>
      <c r="C27" s="6">
        <v>67</v>
      </c>
      <c r="D27" s="8" t="s">
        <v>99</v>
      </c>
      <c r="E27" s="7" t="s">
        <v>100</v>
      </c>
      <c r="AH27" s="18"/>
      <c r="AN27" s="34" t="s">
        <v>101</v>
      </c>
      <c r="AO27" s="34" t="s">
        <v>102</v>
      </c>
      <c r="AP27" s="34">
        <v>80</v>
      </c>
      <c r="AQ27" s="35">
        <v>46135</v>
      </c>
      <c r="AR27" s="34" t="s">
        <v>103</v>
      </c>
      <c r="AS27" s="34" t="s">
        <v>104</v>
      </c>
      <c r="CI27" s="17">
        <f t="shared" si="0"/>
        <v>0</v>
      </c>
      <c r="CR27" s="35">
        <v>46200</v>
      </c>
      <c r="CS27" s="34"/>
      <c r="CT27" s="34"/>
      <c r="CU27" s="34"/>
      <c r="CV27" s="34"/>
      <c r="CW27" s="34"/>
      <c r="CX27" s="34"/>
      <c r="CY27" s="34"/>
      <c r="CZ27" s="34"/>
      <c r="DA27" s="34"/>
      <c r="DB27" s="34"/>
      <c r="DC27" s="65">
        <v>0.04</v>
      </c>
      <c r="DD27" s="34" t="s">
        <v>96</v>
      </c>
    </row>
    <row r="28" spans="1:108" ht="21">
      <c r="A28" s="6" t="s">
        <v>124</v>
      </c>
      <c r="B28" s="6">
        <v>1</v>
      </c>
      <c r="C28" s="6">
        <v>138.88</v>
      </c>
      <c r="D28" s="8" t="s">
        <v>125</v>
      </c>
      <c r="E28" s="7" t="s">
        <v>89</v>
      </c>
      <c r="G28" s="17" t="s">
        <v>126</v>
      </c>
      <c r="O28" s="34"/>
      <c r="P28" s="34">
        <v>145.9</v>
      </c>
      <c r="Q28" s="34">
        <v>107.2</v>
      </c>
      <c r="R28" s="34">
        <v>100</v>
      </c>
      <c r="S28" s="34" t="s">
        <v>92</v>
      </c>
      <c r="T28" s="34" t="s">
        <v>91</v>
      </c>
      <c r="U28" s="34" t="s">
        <v>92</v>
      </c>
      <c r="V28" s="35">
        <v>46175</v>
      </c>
      <c r="W28" s="35">
        <v>46175</v>
      </c>
      <c r="X28" s="35">
        <v>46175</v>
      </c>
      <c r="Y28" s="34" t="s">
        <v>93</v>
      </c>
      <c r="Z28" s="34">
        <v>3</v>
      </c>
      <c r="AA28" s="34">
        <v>1</v>
      </c>
      <c r="AB28" s="34">
        <v>0.45</v>
      </c>
      <c r="AC28" s="34"/>
      <c r="AD28" s="34"/>
      <c r="AE28" s="34"/>
      <c r="AF28" s="34"/>
      <c r="AG28" s="34"/>
      <c r="AH28" s="40">
        <v>46057</v>
      </c>
      <c r="AI28" s="34" t="s">
        <v>96</v>
      </c>
      <c r="AJ28" s="34">
        <v>3</v>
      </c>
      <c r="AK28" s="34"/>
      <c r="AL28" s="35">
        <v>46164</v>
      </c>
      <c r="AM28" s="34" t="s">
        <v>96</v>
      </c>
      <c r="AN28" s="34" t="s">
        <v>123</v>
      </c>
      <c r="AO28" s="34" t="s">
        <v>95</v>
      </c>
      <c r="AP28" s="34">
        <v>3.5</v>
      </c>
      <c r="AQ28" s="35">
        <v>46143</v>
      </c>
      <c r="AR28" s="34" t="s">
        <v>119</v>
      </c>
      <c r="AS28" s="34" t="s">
        <v>120</v>
      </c>
      <c r="AT28" s="34" t="s">
        <v>94</v>
      </c>
      <c r="AU28" s="34" t="s">
        <v>95</v>
      </c>
      <c r="AV28" s="34">
        <v>3.6</v>
      </c>
      <c r="AW28" s="35">
        <v>46162</v>
      </c>
      <c r="AX28" s="34">
        <v>138.88</v>
      </c>
      <c r="AY28" s="34" t="s">
        <v>119</v>
      </c>
      <c r="AZ28" s="34" t="s">
        <v>120</v>
      </c>
      <c r="BJ28" s="17">
        <v>18</v>
      </c>
      <c r="BK28" s="17">
        <v>8</v>
      </c>
      <c r="BL28" s="34">
        <v>75</v>
      </c>
      <c r="BM28" s="34"/>
      <c r="BN28" s="34" t="s">
        <v>91</v>
      </c>
      <c r="BO28" s="35">
        <v>46175</v>
      </c>
      <c r="BP28" s="34" t="s">
        <v>93</v>
      </c>
      <c r="BR28" s="17" t="s">
        <v>109</v>
      </c>
      <c r="BS28" s="17">
        <v>100</v>
      </c>
      <c r="CI28" s="17">
        <f t="shared" si="0"/>
        <v>175</v>
      </c>
      <c r="CR28" s="35">
        <v>46209</v>
      </c>
      <c r="CS28" s="34">
        <v>0.8</v>
      </c>
      <c r="CT28" s="34">
        <v>0.5</v>
      </c>
      <c r="CU28" s="34"/>
      <c r="CV28" s="34"/>
      <c r="CW28" s="34"/>
      <c r="CX28" s="34"/>
      <c r="CY28" s="34"/>
      <c r="CZ28" s="34"/>
      <c r="DA28" s="34">
        <v>0.5</v>
      </c>
      <c r="DB28" s="34"/>
      <c r="DC28" s="34"/>
      <c r="DD28" s="34" t="s">
        <v>96</v>
      </c>
    </row>
    <row r="29" spans="1:108" ht="21" hidden="1">
      <c r="A29" s="6" t="s">
        <v>124</v>
      </c>
      <c r="B29" s="6">
        <v>2</v>
      </c>
      <c r="C29" s="6">
        <v>141.69999999999999</v>
      </c>
      <c r="D29" s="8" t="s">
        <v>99</v>
      </c>
      <c r="E29" s="7" t="s">
        <v>100</v>
      </c>
      <c r="AH29" s="18"/>
      <c r="AN29" s="34" t="s">
        <v>101</v>
      </c>
      <c r="AO29" s="34" t="s">
        <v>102</v>
      </c>
      <c r="AP29" s="34">
        <v>80</v>
      </c>
      <c r="AQ29" s="35">
        <v>46134</v>
      </c>
      <c r="AR29" s="34" t="s">
        <v>103</v>
      </c>
      <c r="AS29" s="34" t="s">
        <v>104</v>
      </c>
      <c r="CI29" s="17">
        <f t="shared" si="0"/>
        <v>0</v>
      </c>
      <c r="CR29" s="35">
        <v>46210</v>
      </c>
      <c r="CS29" s="34"/>
      <c r="CT29" s="34"/>
      <c r="CU29" s="34"/>
      <c r="CV29" s="34">
        <v>0.1</v>
      </c>
      <c r="CW29" s="34">
        <v>0.8</v>
      </c>
      <c r="CX29" s="34"/>
      <c r="CY29" s="34"/>
      <c r="CZ29" s="34"/>
      <c r="DA29" s="34"/>
      <c r="DB29" s="34"/>
      <c r="DC29" s="65"/>
      <c r="DD29" s="34" t="s">
        <v>96</v>
      </c>
    </row>
    <row r="30" spans="1:108" ht="21" hidden="1">
      <c r="A30" s="6" t="s">
        <v>127</v>
      </c>
      <c r="B30" s="6">
        <v>1</v>
      </c>
      <c r="C30" s="6">
        <v>101.74</v>
      </c>
      <c r="D30" s="8" t="s">
        <v>128</v>
      </c>
      <c r="E30" s="7" t="s">
        <v>100</v>
      </c>
      <c r="AH30" s="18"/>
      <c r="AN30" s="34" t="s">
        <v>129</v>
      </c>
      <c r="AO30" s="34" t="s">
        <v>130</v>
      </c>
      <c r="AP30" s="34">
        <v>10</v>
      </c>
      <c r="AQ30" s="35">
        <v>46170</v>
      </c>
      <c r="AR30" s="34" t="s">
        <v>131</v>
      </c>
      <c r="AS30" s="34" t="s">
        <v>132</v>
      </c>
      <c r="CI30" s="17">
        <f t="shared" si="0"/>
        <v>0</v>
      </c>
      <c r="DC30" s="43">
        <v>0.04</v>
      </c>
    </row>
    <row r="31" spans="1:108" ht="21">
      <c r="A31" s="6" t="s">
        <v>127</v>
      </c>
      <c r="B31" s="6">
        <v>2</v>
      </c>
      <c r="C31" s="6">
        <v>34.99</v>
      </c>
      <c r="D31" s="8" t="s">
        <v>125</v>
      </c>
      <c r="E31" s="7" t="s">
        <v>89</v>
      </c>
      <c r="G31" s="17" t="s">
        <v>126</v>
      </c>
      <c r="P31" s="34">
        <v>120</v>
      </c>
      <c r="Q31" s="34">
        <v>50</v>
      </c>
      <c r="R31" s="34">
        <v>100</v>
      </c>
      <c r="S31" s="34" t="s">
        <v>92</v>
      </c>
      <c r="T31" s="34" t="s">
        <v>91</v>
      </c>
      <c r="U31" s="34" t="s">
        <v>92</v>
      </c>
      <c r="V31" s="35">
        <v>46189</v>
      </c>
      <c r="W31" s="35">
        <v>46170</v>
      </c>
      <c r="X31" s="35">
        <v>46199</v>
      </c>
      <c r="Y31" s="34" t="s">
        <v>103</v>
      </c>
      <c r="Z31" s="34">
        <v>3</v>
      </c>
      <c r="AA31" s="34">
        <v>1</v>
      </c>
      <c r="AB31" s="34">
        <v>0.45</v>
      </c>
      <c r="AC31" s="34"/>
      <c r="AD31" s="34"/>
      <c r="AE31" s="34"/>
      <c r="AF31" s="34"/>
      <c r="AG31" s="34"/>
      <c r="AH31" s="40" t="s">
        <v>133</v>
      </c>
      <c r="AI31" s="34" t="s">
        <v>96</v>
      </c>
      <c r="AJ31" s="34">
        <v>3.5</v>
      </c>
      <c r="AK31" s="34">
        <v>2.5</v>
      </c>
      <c r="AL31" s="35">
        <v>46136</v>
      </c>
      <c r="AM31" s="34" t="s">
        <v>96</v>
      </c>
      <c r="AN31" s="34" t="s">
        <v>134</v>
      </c>
      <c r="AO31" s="34" t="s">
        <v>95</v>
      </c>
      <c r="AP31" s="34">
        <v>3.5</v>
      </c>
      <c r="AQ31" s="35">
        <v>46139</v>
      </c>
      <c r="AR31" s="34" t="s">
        <v>96</v>
      </c>
      <c r="AS31" s="34" t="s">
        <v>97</v>
      </c>
      <c r="AT31" s="34" t="s">
        <v>135</v>
      </c>
      <c r="AU31" s="34" t="s">
        <v>95</v>
      </c>
      <c r="AV31" s="34">
        <v>3.6</v>
      </c>
      <c r="AW31" s="35">
        <v>46171</v>
      </c>
      <c r="AX31" s="34">
        <v>34.99</v>
      </c>
      <c r="AY31" s="34" t="s">
        <v>136</v>
      </c>
      <c r="AZ31" s="34" t="s">
        <v>120</v>
      </c>
      <c r="BJ31" s="17">
        <v>19.329999999999998</v>
      </c>
      <c r="BK31" s="17">
        <v>7</v>
      </c>
      <c r="BL31" s="34">
        <v>95</v>
      </c>
      <c r="BM31" s="34"/>
      <c r="BN31" s="34" t="s">
        <v>91</v>
      </c>
      <c r="BO31" s="35">
        <v>46143</v>
      </c>
      <c r="BP31" s="34" t="s">
        <v>103</v>
      </c>
      <c r="BQ31" s="34"/>
      <c r="BR31" s="35">
        <v>46199</v>
      </c>
      <c r="BS31" s="34">
        <v>75</v>
      </c>
      <c r="BT31" s="34" t="s">
        <v>92</v>
      </c>
      <c r="BU31" s="34"/>
      <c r="BV31" s="34" t="s">
        <v>103</v>
      </c>
      <c r="CI31" s="17">
        <f t="shared" si="0"/>
        <v>170</v>
      </c>
      <c r="CR31" s="35">
        <v>46208</v>
      </c>
      <c r="CS31" s="34">
        <v>0.8</v>
      </c>
      <c r="CT31" s="34"/>
      <c r="CU31" s="34"/>
      <c r="CV31" s="34"/>
      <c r="CW31" s="34"/>
      <c r="CX31" s="34"/>
      <c r="CY31" s="34"/>
      <c r="CZ31" s="34"/>
      <c r="DA31" s="34" t="s">
        <v>137</v>
      </c>
      <c r="DB31" s="34"/>
      <c r="DC31" s="34"/>
      <c r="DD31" s="34" t="s">
        <v>96</v>
      </c>
    </row>
    <row r="32" spans="1:108" ht="21">
      <c r="A32" s="6" t="s">
        <v>127</v>
      </c>
      <c r="B32" s="6">
        <v>3</v>
      </c>
      <c r="C32" s="6">
        <v>301.24</v>
      </c>
      <c r="D32" s="8" t="s">
        <v>125</v>
      </c>
      <c r="E32" s="7" t="s">
        <v>89</v>
      </c>
      <c r="G32" s="17" t="s">
        <v>126</v>
      </c>
      <c r="P32" s="34">
        <v>113.3</v>
      </c>
      <c r="Q32" s="34">
        <v>72.3</v>
      </c>
      <c r="R32" s="34">
        <v>100</v>
      </c>
      <c r="S32" s="34" t="s">
        <v>92</v>
      </c>
      <c r="T32" s="34" t="s">
        <v>91</v>
      </c>
      <c r="U32" s="34" t="s">
        <v>92</v>
      </c>
      <c r="V32" s="35">
        <v>46189</v>
      </c>
      <c r="W32" s="35">
        <v>46170</v>
      </c>
      <c r="X32" s="35">
        <v>46199</v>
      </c>
      <c r="Y32" s="34" t="s">
        <v>103</v>
      </c>
      <c r="Z32" s="34">
        <v>3</v>
      </c>
      <c r="AA32" s="34">
        <v>1</v>
      </c>
      <c r="AB32" s="34">
        <v>0.45</v>
      </c>
      <c r="AC32" s="34"/>
      <c r="AD32" s="34"/>
      <c r="AE32" s="34"/>
      <c r="AF32" s="34"/>
      <c r="AG32" s="34"/>
      <c r="AH32" s="40" t="s">
        <v>133</v>
      </c>
      <c r="AI32" s="34" t="s">
        <v>96</v>
      </c>
      <c r="AJ32" s="34">
        <v>3.5</v>
      </c>
      <c r="AK32" s="34">
        <v>2.5</v>
      </c>
      <c r="AL32" s="35">
        <v>46136</v>
      </c>
      <c r="AM32" s="34" t="s">
        <v>96</v>
      </c>
      <c r="AN32" s="34" t="s">
        <v>134</v>
      </c>
      <c r="AO32" s="34" t="s">
        <v>95</v>
      </c>
      <c r="AP32" s="34">
        <v>3.5</v>
      </c>
      <c r="AQ32" s="35">
        <v>46132</v>
      </c>
      <c r="AR32" s="34" t="s">
        <v>96</v>
      </c>
      <c r="AS32" s="34" t="s">
        <v>97</v>
      </c>
      <c r="AT32" s="34" t="s">
        <v>138</v>
      </c>
      <c r="AU32" s="34" t="s">
        <v>95</v>
      </c>
      <c r="AV32" s="34">
        <v>3.6</v>
      </c>
      <c r="AW32" s="35">
        <v>46172</v>
      </c>
      <c r="AX32" s="34">
        <v>210</v>
      </c>
      <c r="AY32" s="34" t="s">
        <v>139</v>
      </c>
      <c r="AZ32" s="34" t="s">
        <v>140</v>
      </c>
      <c r="BJ32" s="17">
        <v>15.71</v>
      </c>
      <c r="BK32" s="17">
        <v>7</v>
      </c>
      <c r="BL32" s="34">
        <v>95</v>
      </c>
      <c r="BM32" s="34"/>
      <c r="BN32" s="34" t="s">
        <v>91</v>
      </c>
      <c r="BO32" s="35">
        <v>46143</v>
      </c>
      <c r="BP32" s="34" t="s">
        <v>103</v>
      </c>
      <c r="BQ32" s="34"/>
      <c r="BR32" s="35">
        <v>46199</v>
      </c>
      <c r="BS32" s="34">
        <v>75</v>
      </c>
      <c r="BT32" s="34" t="s">
        <v>92</v>
      </c>
      <c r="BU32" s="34"/>
      <c r="BV32" s="34" t="s">
        <v>103</v>
      </c>
      <c r="CI32" s="17">
        <f t="shared" si="0"/>
        <v>170</v>
      </c>
      <c r="CR32" s="35">
        <v>46208</v>
      </c>
      <c r="CS32" s="34">
        <v>0.8</v>
      </c>
      <c r="CT32" s="34">
        <v>0.5</v>
      </c>
      <c r="CU32" s="34"/>
      <c r="CV32" s="34"/>
      <c r="CW32" s="34"/>
      <c r="CX32" s="34"/>
      <c r="CY32" s="34"/>
      <c r="CZ32" s="34"/>
      <c r="DA32" s="34" t="s">
        <v>137</v>
      </c>
      <c r="DB32" s="34"/>
      <c r="DC32" s="34"/>
      <c r="DD32" s="34" t="s">
        <v>96</v>
      </c>
    </row>
    <row r="33" spans="1:108" ht="21">
      <c r="A33" s="6" t="s">
        <v>127</v>
      </c>
      <c r="B33" s="6">
        <v>4</v>
      </c>
      <c r="C33" s="6">
        <v>180.2</v>
      </c>
      <c r="D33" s="8" t="s">
        <v>125</v>
      </c>
      <c r="E33" s="7" t="s">
        <v>89</v>
      </c>
      <c r="G33" s="17" t="s">
        <v>126</v>
      </c>
      <c r="P33" s="34">
        <v>120.7</v>
      </c>
      <c r="Q33" s="34">
        <v>92.5</v>
      </c>
      <c r="R33" s="34">
        <v>100</v>
      </c>
      <c r="S33" s="34" t="s">
        <v>92</v>
      </c>
      <c r="T33" s="34" t="s">
        <v>91</v>
      </c>
      <c r="U33" s="34" t="s">
        <v>92</v>
      </c>
      <c r="V33" s="35">
        <v>46189</v>
      </c>
      <c r="W33" s="35">
        <v>46170</v>
      </c>
      <c r="X33" s="35">
        <v>46199</v>
      </c>
      <c r="Y33" s="34" t="s">
        <v>103</v>
      </c>
      <c r="Z33" s="34">
        <v>3</v>
      </c>
      <c r="AA33" s="34">
        <v>1</v>
      </c>
      <c r="AB33" s="34">
        <v>0.45</v>
      </c>
      <c r="AC33" s="34"/>
      <c r="AD33" s="34"/>
      <c r="AE33" s="34"/>
      <c r="AF33" s="34"/>
      <c r="AG33" s="34"/>
      <c r="AH33" s="40" t="s">
        <v>133</v>
      </c>
      <c r="AI33" s="34" t="s">
        <v>96</v>
      </c>
      <c r="AJ33" s="34">
        <v>3.5</v>
      </c>
      <c r="AK33" s="34">
        <v>2.5</v>
      </c>
      <c r="AL33" s="35">
        <v>46136</v>
      </c>
      <c r="AM33" s="34" t="s">
        <v>96</v>
      </c>
      <c r="AN33" s="34" t="s">
        <v>141</v>
      </c>
      <c r="AO33" s="34" t="s">
        <v>95</v>
      </c>
      <c r="AP33" s="34">
        <v>3.5</v>
      </c>
      <c r="AQ33" s="35">
        <v>46141</v>
      </c>
      <c r="AR33" s="34" t="s">
        <v>96</v>
      </c>
      <c r="AS33" s="34" t="s">
        <v>97</v>
      </c>
      <c r="AT33" s="34" t="s">
        <v>142</v>
      </c>
      <c r="AU33" s="34" t="s">
        <v>95</v>
      </c>
      <c r="AV33" s="34">
        <v>3.6</v>
      </c>
      <c r="AW33" s="35">
        <v>46172</v>
      </c>
      <c r="AX33" s="34">
        <v>131.5</v>
      </c>
      <c r="AY33" s="34" t="s">
        <v>143</v>
      </c>
      <c r="AZ33" s="34" t="s">
        <v>120</v>
      </c>
      <c r="BJ33" s="17">
        <v>19</v>
      </c>
      <c r="BK33" s="17">
        <v>8</v>
      </c>
      <c r="BL33" s="34">
        <v>95</v>
      </c>
      <c r="BM33" s="34"/>
      <c r="BN33" s="34" t="s">
        <v>91</v>
      </c>
      <c r="BO33" s="35">
        <v>46143</v>
      </c>
      <c r="BP33" s="34" t="s">
        <v>103</v>
      </c>
      <c r="BQ33" s="34"/>
      <c r="BR33" s="35">
        <v>46199</v>
      </c>
      <c r="BS33" s="34">
        <v>75</v>
      </c>
      <c r="BT33" s="34" t="s">
        <v>92</v>
      </c>
      <c r="BU33" s="34"/>
      <c r="BV33" s="34" t="s">
        <v>103</v>
      </c>
      <c r="CI33" s="17">
        <f t="shared" si="0"/>
        <v>170</v>
      </c>
      <c r="CR33" s="35">
        <v>46208</v>
      </c>
      <c r="CS33" s="34">
        <v>0.8</v>
      </c>
      <c r="CT33" s="34"/>
      <c r="CU33" s="34"/>
      <c r="CV33" s="34"/>
      <c r="CW33" s="34"/>
      <c r="CX33" s="34"/>
      <c r="CY33" s="34"/>
      <c r="CZ33" s="34"/>
      <c r="DA33" s="34" t="s">
        <v>137</v>
      </c>
      <c r="DB33" s="34"/>
      <c r="DC33" s="34"/>
      <c r="DD33" s="34" t="s">
        <v>96</v>
      </c>
    </row>
    <row r="34" spans="1:108" ht="21" hidden="1">
      <c r="A34" s="6" t="s">
        <v>127</v>
      </c>
      <c r="B34" s="6">
        <v>5</v>
      </c>
      <c r="C34" s="6">
        <v>59.08</v>
      </c>
      <c r="D34" s="8" t="s">
        <v>128</v>
      </c>
      <c r="E34" s="7" t="s">
        <v>100</v>
      </c>
      <c r="AH34" s="18"/>
      <c r="AN34" s="34" t="s">
        <v>129</v>
      </c>
      <c r="AO34" s="34" t="s">
        <v>130</v>
      </c>
      <c r="AP34" s="34">
        <v>10</v>
      </c>
      <c r="AQ34" s="35">
        <v>46170</v>
      </c>
      <c r="AR34" s="34" t="s">
        <v>131</v>
      </c>
      <c r="AS34" s="34" t="s">
        <v>132</v>
      </c>
      <c r="CI34" s="17">
        <f t="shared" si="0"/>
        <v>0</v>
      </c>
      <c r="CR34" s="17" t="s">
        <v>109</v>
      </c>
      <c r="DC34" s="43">
        <v>0.04</v>
      </c>
      <c r="DD34" s="17" t="s">
        <v>96</v>
      </c>
    </row>
    <row r="35" spans="1:108" ht="21" hidden="1">
      <c r="A35" s="6" t="s">
        <v>127</v>
      </c>
      <c r="B35" s="6">
        <v>7</v>
      </c>
      <c r="C35" s="6">
        <v>46.79</v>
      </c>
      <c r="D35" s="8" t="s">
        <v>99</v>
      </c>
      <c r="E35" s="7" t="s">
        <v>100</v>
      </c>
      <c r="AH35" s="18"/>
      <c r="AN35" s="34" t="s">
        <v>129</v>
      </c>
      <c r="AO35" s="34" t="s">
        <v>130</v>
      </c>
      <c r="AP35" s="34">
        <v>10</v>
      </c>
      <c r="AQ35" s="35">
        <v>46134</v>
      </c>
      <c r="AR35" s="34" t="s">
        <v>131</v>
      </c>
      <c r="AS35" s="34" t="s">
        <v>144</v>
      </c>
      <c r="CI35" s="17">
        <f t="shared" si="0"/>
        <v>0</v>
      </c>
      <c r="CR35" s="35">
        <v>46200</v>
      </c>
      <c r="CS35" s="34"/>
      <c r="CT35" s="34"/>
      <c r="CU35" s="34"/>
      <c r="CV35" s="34"/>
      <c r="CW35" s="34"/>
      <c r="CX35" s="34"/>
      <c r="CY35" s="34"/>
      <c r="CZ35" s="34"/>
      <c r="DA35" s="34"/>
      <c r="DB35" s="34"/>
      <c r="DC35" s="65">
        <v>0.04</v>
      </c>
      <c r="DD35" s="34" t="s">
        <v>96</v>
      </c>
    </row>
    <row r="36" spans="1:108" ht="21" hidden="1">
      <c r="A36" s="6" t="s">
        <v>127</v>
      </c>
      <c r="B36" s="6">
        <v>8</v>
      </c>
      <c r="C36" s="6">
        <v>59.05</v>
      </c>
      <c r="D36" s="8" t="s">
        <v>99</v>
      </c>
      <c r="E36" s="7" t="s">
        <v>100</v>
      </c>
      <c r="AH36" s="18"/>
      <c r="AN36" s="34" t="s">
        <v>129</v>
      </c>
      <c r="AO36" s="34" t="s">
        <v>130</v>
      </c>
      <c r="AP36" s="34">
        <v>10</v>
      </c>
      <c r="AQ36" s="35">
        <v>46134</v>
      </c>
      <c r="AR36" s="34" t="s">
        <v>131</v>
      </c>
      <c r="AS36" s="34" t="s">
        <v>144</v>
      </c>
      <c r="CI36" s="17">
        <f t="shared" si="0"/>
        <v>0</v>
      </c>
      <c r="CR36" s="35">
        <v>46200</v>
      </c>
      <c r="CS36" s="34"/>
      <c r="CT36" s="34"/>
      <c r="CU36" s="34"/>
      <c r="CV36" s="34"/>
      <c r="CW36" s="34"/>
      <c r="CX36" s="34"/>
      <c r="CY36" s="34"/>
      <c r="CZ36" s="34"/>
      <c r="DA36" s="34"/>
      <c r="DB36" s="34"/>
      <c r="DC36" s="65">
        <v>0.04</v>
      </c>
      <c r="DD36" s="34" t="s">
        <v>96</v>
      </c>
    </row>
    <row r="37" spans="1:108" ht="21" hidden="1">
      <c r="A37" s="6" t="s">
        <v>127</v>
      </c>
      <c r="B37" s="6">
        <v>9</v>
      </c>
      <c r="C37" s="6">
        <v>103.45</v>
      </c>
      <c r="D37" s="8" t="s">
        <v>99</v>
      </c>
      <c r="E37" s="7" t="s">
        <v>100</v>
      </c>
      <c r="AH37" s="18"/>
      <c r="AN37" s="34" t="s">
        <v>129</v>
      </c>
      <c r="AO37" s="34" t="s">
        <v>130</v>
      </c>
      <c r="AP37" s="34">
        <v>10</v>
      </c>
      <c r="AQ37" s="35">
        <v>46132</v>
      </c>
      <c r="AR37" s="34" t="s">
        <v>131</v>
      </c>
      <c r="AS37" s="34" t="s">
        <v>144</v>
      </c>
      <c r="CI37" s="17">
        <f t="shared" si="0"/>
        <v>0</v>
      </c>
      <c r="CR37" s="35">
        <v>46200</v>
      </c>
      <c r="CS37" s="34"/>
      <c r="CT37" s="34"/>
      <c r="CU37" s="34"/>
      <c r="CV37" s="34">
        <v>0.1</v>
      </c>
      <c r="CW37" s="34">
        <v>0.8</v>
      </c>
      <c r="CX37" s="34"/>
      <c r="CY37" s="34"/>
      <c r="CZ37" s="34"/>
      <c r="DA37" s="34"/>
      <c r="DB37" s="34"/>
      <c r="DC37" s="65"/>
      <c r="DD37" s="34" t="s">
        <v>96</v>
      </c>
    </row>
    <row r="38" spans="1:108" ht="21">
      <c r="A38" s="6" t="s">
        <v>127</v>
      </c>
      <c r="B38" s="6">
        <v>10</v>
      </c>
      <c r="C38" s="6">
        <v>101.88</v>
      </c>
      <c r="D38" s="8" t="s">
        <v>125</v>
      </c>
      <c r="E38" s="7" t="s">
        <v>89</v>
      </c>
      <c r="G38" s="17" t="s">
        <v>126</v>
      </c>
      <c r="P38" s="34">
        <v>97.9</v>
      </c>
      <c r="Q38" s="34">
        <v>83.7</v>
      </c>
      <c r="S38" s="34" t="s">
        <v>92</v>
      </c>
      <c r="T38" s="34" t="s">
        <v>91</v>
      </c>
      <c r="V38" s="35">
        <v>46176</v>
      </c>
      <c r="W38" s="35">
        <v>46170</v>
      </c>
      <c r="X38" s="19"/>
      <c r="Z38" s="34">
        <v>3</v>
      </c>
      <c r="AA38" s="34">
        <v>1</v>
      </c>
      <c r="AB38" s="34">
        <v>0.45</v>
      </c>
      <c r="AC38" s="34"/>
      <c r="AD38" s="34"/>
      <c r="AE38" s="34"/>
      <c r="AF38" s="34"/>
      <c r="AG38" s="34"/>
      <c r="AH38" s="40" t="s">
        <v>133</v>
      </c>
      <c r="AI38" s="34" t="s">
        <v>96</v>
      </c>
      <c r="AJ38" s="34">
        <v>3.5</v>
      </c>
      <c r="AK38" s="34">
        <v>2.5</v>
      </c>
      <c r="AL38" s="35">
        <v>46136</v>
      </c>
      <c r="AM38" s="34" t="s">
        <v>96</v>
      </c>
      <c r="AN38" s="34" t="s">
        <v>134</v>
      </c>
      <c r="AO38" s="34" t="s">
        <v>95</v>
      </c>
      <c r="AP38" s="34">
        <v>3.5</v>
      </c>
      <c r="AQ38" s="35">
        <v>46139</v>
      </c>
      <c r="AR38" s="34" t="s">
        <v>96</v>
      </c>
      <c r="AS38" s="34" t="s">
        <v>97</v>
      </c>
      <c r="AT38" s="34" t="s">
        <v>94</v>
      </c>
      <c r="AU38" s="34" t="s">
        <v>95</v>
      </c>
      <c r="AV38" s="34">
        <v>3.6</v>
      </c>
      <c r="AW38" s="35">
        <v>46171</v>
      </c>
      <c r="AX38" s="34">
        <v>101.88</v>
      </c>
      <c r="AY38" s="34" t="s">
        <v>96</v>
      </c>
      <c r="AZ38" s="34" t="s">
        <v>97</v>
      </c>
      <c r="BG38" s="34">
        <v>2</v>
      </c>
      <c r="BH38" s="35">
        <v>46174</v>
      </c>
      <c r="BI38" s="34" t="s">
        <v>131</v>
      </c>
      <c r="BJ38" s="17">
        <v>12.5</v>
      </c>
      <c r="BK38" s="17">
        <v>6</v>
      </c>
      <c r="BL38" s="34">
        <v>95</v>
      </c>
      <c r="BM38" s="34"/>
      <c r="BN38" s="34" t="s">
        <v>91</v>
      </c>
      <c r="BO38" s="35">
        <v>46143</v>
      </c>
      <c r="BP38" s="34" t="s">
        <v>103</v>
      </c>
      <c r="CI38" s="17">
        <f t="shared" si="0"/>
        <v>95</v>
      </c>
      <c r="CR38" s="35">
        <v>46208</v>
      </c>
      <c r="CS38" s="34">
        <v>0.8</v>
      </c>
      <c r="CT38" s="34">
        <v>0.5</v>
      </c>
      <c r="CU38" s="34"/>
      <c r="CV38" s="34"/>
      <c r="CW38" s="34"/>
      <c r="CX38" s="34"/>
      <c r="CY38" s="34"/>
      <c r="CZ38" s="34"/>
      <c r="DA38" s="34" t="s">
        <v>137</v>
      </c>
      <c r="DB38" s="34"/>
      <c r="DC38" s="34"/>
      <c r="DD38" s="34" t="s">
        <v>96</v>
      </c>
    </row>
    <row r="39" spans="1:108" ht="21" hidden="1">
      <c r="A39" s="6" t="s">
        <v>127</v>
      </c>
      <c r="B39" s="6">
        <v>11</v>
      </c>
      <c r="C39" s="6">
        <v>53.38</v>
      </c>
      <c r="D39" s="8" t="s">
        <v>128</v>
      </c>
      <c r="E39" s="7" t="s">
        <v>100</v>
      </c>
      <c r="AH39" s="18"/>
      <c r="AN39" s="34" t="s">
        <v>129</v>
      </c>
      <c r="AO39" s="34" t="s">
        <v>130</v>
      </c>
      <c r="AP39" s="34">
        <v>10</v>
      </c>
      <c r="AQ39" s="35">
        <v>46170</v>
      </c>
      <c r="AR39" s="34" t="s">
        <v>131</v>
      </c>
      <c r="AS39" s="34" t="s">
        <v>132</v>
      </c>
      <c r="CI39" s="17">
        <f t="shared" si="0"/>
        <v>0</v>
      </c>
      <c r="CR39" s="17" t="s">
        <v>109</v>
      </c>
      <c r="DC39" s="43">
        <v>0.04</v>
      </c>
      <c r="DD39" s="17" t="s">
        <v>96</v>
      </c>
    </row>
    <row r="40" spans="1:108" ht="21" hidden="1">
      <c r="A40" s="6" t="s">
        <v>127</v>
      </c>
      <c r="B40" s="6">
        <v>12</v>
      </c>
      <c r="C40" s="6">
        <v>102.7</v>
      </c>
      <c r="D40" s="8" t="s">
        <v>99</v>
      </c>
      <c r="E40" s="7" t="s">
        <v>100</v>
      </c>
      <c r="AH40" s="18"/>
      <c r="AN40" s="34" t="s">
        <v>129</v>
      </c>
      <c r="AO40" s="34" t="s">
        <v>130</v>
      </c>
      <c r="AP40" s="34">
        <v>10</v>
      </c>
      <c r="AQ40" s="35">
        <v>46126</v>
      </c>
      <c r="AR40" s="34" t="s">
        <v>131</v>
      </c>
      <c r="AS40" s="34" t="s">
        <v>144</v>
      </c>
      <c r="CI40" s="17">
        <f t="shared" si="0"/>
        <v>0</v>
      </c>
      <c r="CR40" s="35">
        <v>46200</v>
      </c>
      <c r="CS40" s="34"/>
      <c r="CT40" s="34"/>
      <c r="CU40" s="34"/>
      <c r="CV40" s="34">
        <v>0.1</v>
      </c>
      <c r="CW40" s="34">
        <v>0.8</v>
      </c>
      <c r="CX40" s="34"/>
      <c r="CY40" s="34"/>
      <c r="CZ40" s="34"/>
      <c r="DA40" s="34"/>
      <c r="DB40" s="34"/>
      <c r="DC40" s="65"/>
      <c r="DD40" s="34" t="s">
        <v>96</v>
      </c>
    </row>
    <row r="41" spans="1:108" ht="21" hidden="1">
      <c r="A41" s="6" t="s">
        <v>127</v>
      </c>
      <c r="B41" s="6">
        <v>13</v>
      </c>
      <c r="C41" s="6">
        <v>87.11</v>
      </c>
      <c r="D41" s="8" t="s">
        <v>99</v>
      </c>
      <c r="E41" s="7" t="s">
        <v>100</v>
      </c>
      <c r="AH41" s="18"/>
      <c r="AN41" s="34" t="s">
        <v>129</v>
      </c>
      <c r="AO41" s="34" t="s">
        <v>130</v>
      </c>
      <c r="AP41" s="34">
        <v>10</v>
      </c>
      <c r="AQ41" s="35">
        <v>46135</v>
      </c>
      <c r="AR41" s="34" t="s">
        <v>131</v>
      </c>
      <c r="AS41" s="34" t="s">
        <v>144</v>
      </c>
      <c r="CI41" s="17">
        <f t="shared" si="0"/>
        <v>0</v>
      </c>
      <c r="CR41" s="35">
        <v>46200</v>
      </c>
      <c r="CS41" s="34"/>
      <c r="CT41" s="34"/>
      <c r="CU41" s="34"/>
      <c r="CV41" s="34">
        <v>0.1</v>
      </c>
      <c r="CW41" s="34">
        <v>0.8</v>
      </c>
      <c r="CX41" s="34"/>
      <c r="CY41" s="34"/>
      <c r="CZ41" s="34"/>
      <c r="DA41" s="34"/>
      <c r="DB41" s="34"/>
      <c r="DC41" s="65"/>
      <c r="DD41" s="34" t="s">
        <v>96</v>
      </c>
    </row>
    <row r="42" spans="1:108" ht="21" hidden="1">
      <c r="A42" s="6" t="s">
        <v>127</v>
      </c>
      <c r="B42" s="6">
        <v>14</v>
      </c>
      <c r="C42" s="6">
        <v>59.42</v>
      </c>
      <c r="D42" s="8" t="s">
        <v>99</v>
      </c>
      <c r="E42" s="7" t="s">
        <v>100</v>
      </c>
      <c r="AH42" s="18"/>
      <c r="AN42" s="34" t="s">
        <v>129</v>
      </c>
      <c r="AO42" s="34" t="s">
        <v>130</v>
      </c>
      <c r="AP42" s="34">
        <v>10</v>
      </c>
      <c r="AQ42" s="35">
        <v>46135</v>
      </c>
      <c r="AR42" s="34" t="s">
        <v>131</v>
      </c>
      <c r="AS42" s="34" t="s">
        <v>144</v>
      </c>
      <c r="CI42" s="17">
        <f t="shared" si="0"/>
        <v>0</v>
      </c>
      <c r="CR42" s="35">
        <v>46200</v>
      </c>
      <c r="CS42" s="34"/>
      <c r="CT42" s="34"/>
      <c r="CU42" s="34"/>
      <c r="CV42" s="34"/>
      <c r="CW42" s="34"/>
      <c r="CX42" s="34"/>
      <c r="CY42" s="34"/>
      <c r="CZ42" s="34"/>
      <c r="DA42" s="34"/>
      <c r="DB42" s="34"/>
      <c r="DC42" s="65">
        <v>0.04</v>
      </c>
      <c r="DD42" s="34" t="s">
        <v>96</v>
      </c>
    </row>
    <row r="43" spans="1:108" ht="21" hidden="1">
      <c r="A43" s="6" t="s">
        <v>127</v>
      </c>
      <c r="B43" s="6">
        <v>15</v>
      </c>
      <c r="C43" s="6">
        <v>35.96</v>
      </c>
      <c r="D43" s="8" t="s">
        <v>99</v>
      </c>
      <c r="E43" s="7" t="s">
        <v>100</v>
      </c>
      <c r="AH43" s="18"/>
      <c r="AN43" s="34" t="s">
        <v>129</v>
      </c>
      <c r="AO43" s="34" t="s">
        <v>130</v>
      </c>
      <c r="AP43" s="34">
        <v>10</v>
      </c>
      <c r="AQ43" s="35">
        <v>46136</v>
      </c>
      <c r="AR43" s="34" t="s">
        <v>131</v>
      </c>
      <c r="AS43" s="34" t="s">
        <v>144</v>
      </c>
      <c r="CI43" s="17">
        <f t="shared" si="0"/>
        <v>0</v>
      </c>
      <c r="CR43" s="35">
        <v>46200</v>
      </c>
      <c r="CS43" s="34"/>
      <c r="CT43" s="34"/>
      <c r="CU43" s="34"/>
      <c r="CV43" s="34"/>
      <c r="CW43" s="34"/>
      <c r="CX43" s="34"/>
      <c r="CY43" s="34"/>
      <c r="CZ43" s="34"/>
      <c r="DA43" s="34"/>
      <c r="DB43" s="34"/>
      <c r="DC43" s="65">
        <v>0.04</v>
      </c>
      <c r="DD43" s="34" t="s">
        <v>96</v>
      </c>
    </row>
    <row r="44" spans="1:108" ht="21">
      <c r="A44" s="6" t="s">
        <v>145</v>
      </c>
      <c r="B44" s="6" t="s">
        <v>146</v>
      </c>
      <c r="C44" s="6">
        <v>386.2</v>
      </c>
      <c r="D44" s="8" t="s">
        <v>99</v>
      </c>
      <c r="E44" s="7" t="s">
        <v>147</v>
      </c>
      <c r="G44" s="17" t="s">
        <v>126</v>
      </c>
      <c r="P44" s="34">
        <v>61.5</v>
      </c>
      <c r="Q44" s="34">
        <v>107.3</v>
      </c>
      <c r="S44" s="34" t="s">
        <v>92</v>
      </c>
      <c r="T44" s="34" t="s">
        <v>91</v>
      </c>
      <c r="U44" s="34"/>
      <c r="V44" s="35">
        <v>46176</v>
      </c>
      <c r="W44" s="35">
        <v>46172</v>
      </c>
      <c r="X44" s="35"/>
      <c r="Y44" s="34" t="s">
        <v>103</v>
      </c>
      <c r="Z44" s="34">
        <v>3</v>
      </c>
      <c r="AA44" s="34"/>
      <c r="AB44" s="34"/>
      <c r="AC44" s="34"/>
      <c r="AD44" s="34"/>
      <c r="AE44" s="34">
        <v>0.35</v>
      </c>
      <c r="AF44" s="34"/>
      <c r="AG44" s="34"/>
      <c r="AH44" s="40">
        <v>46167</v>
      </c>
      <c r="AI44" s="34" t="s">
        <v>96</v>
      </c>
      <c r="AN44" s="34" t="s">
        <v>148</v>
      </c>
      <c r="AO44" s="34" t="s">
        <v>130</v>
      </c>
      <c r="AP44" s="34">
        <v>146.93</v>
      </c>
      <c r="AQ44" s="35">
        <v>46165</v>
      </c>
      <c r="AR44" s="34" t="s">
        <v>96</v>
      </c>
      <c r="AS44" s="34" t="s">
        <v>108</v>
      </c>
      <c r="BJ44" s="17">
        <v>42</v>
      </c>
      <c r="BK44" s="17">
        <v>9</v>
      </c>
      <c r="BL44" s="34">
        <v>93</v>
      </c>
      <c r="BM44" s="34"/>
      <c r="BN44" s="34" t="s">
        <v>91</v>
      </c>
      <c r="BO44" s="35">
        <v>46176</v>
      </c>
      <c r="BP44" s="34" t="s">
        <v>103</v>
      </c>
      <c r="BQ44" s="17">
        <v>7</v>
      </c>
      <c r="BR44" s="17" t="s">
        <v>109</v>
      </c>
      <c r="BS44" s="17">
        <v>100</v>
      </c>
      <c r="CI44" s="17">
        <f t="shared" si="0"/>
        <v>193</v>
      </c>
      <c r="CM44" s="35">
        <v>46190</v>
      </c>
      <c r="CN44" s="34">
        <v>5</v>
      </c>
      <c r="CO44" s="34">
        <f>+C44-135</f>
        <v>251.2</v>
      </c>
      <c r="CP44" s="34" t="s">
        <v>149</v>
      </c>
      <c r="CQ44" s="34" t="s">
        <v>96</v>
      </c>
      <c r="CR44" s="35">
        <v>46204</v>
      </c>
      <c r="CS44" s="34"/>
      <c r="CT44" s="34"/>
      <c r="CU44" s="34"/>
      <c r="CV44" s="34"/>
      <c r="CW44" s="34"/>
      <c r="CX44" s="34">
        <v>0.6</v>
      </c>
      <c r="CY44" s="34"/>
      <c r="CZ44" s="34"/>
      <c r="DA44" s="34"/>
      <c r="DB44" s="34"/>
      <c r="DC44" s="34">
        <v>0.04</v>
      </c>
      <c r="DD44" s="34" t="s">
        <v>96</v>
      </c>
    </row>
    <row r="45" spans="1:108" ht="21" hidden="1">
      <c r="A45" s="6" t="s">
        <v>145</v>
      </c>
      <c r="B45" s="6" t="s">
        <v>150</v>
      </c>
      <c r="C45" s="6">
        <v>120</v>
      </c>
      <c r="D45" s="8" t="s">
        <v>128</v>
      </c>
      <c r="E45" s="7" t="s">
        <v>100</v>
      </c>
      <c r="AH45" s="18"/>
      <c r="AN45" s="34" t="s">
        <v>129</v>
      </c>
      <c r="AO45" s="34" t="s">
        <v>130</v>
      </c>
      <c r="AP45" s="34">
        <v>10</v>
      </c>
      <c r="AQ45" s="35">
        <v>46175</v>
      </c>
      <c r="AR45" s="34" t="s">
        <v>131</v>
      </c>
      <c r="AS45" s="34" t="s">
        <v>144</v>
      </c>
      <c r="CI45" s="17">
        <f t="shared" si="0"/>
        <v>0</v>
      </c>
      <c r="DC45" s="43"/>
    </row>
    <row r="46" spans="1:108" ht="21">
      <c r="A46" s="6" t="s">
        <v>145</v>
      </c>
      <c r="B46" s="6" t="s">
        <v>151</v>
      </c>
      <c r="C46" s="9">
        <v>163</v>
      </c>
      <c r="D46" s="8" t="s">
        <v>99</v>
      </c>
      <c r="E46" s="7" t="s">
        <v>147</v>
      </c>
      <c r="G46" s="17" t="s">
        <v>126</v>
      </c>
      <c r="P46" s="34">
        <v>93.9</v>
      </c>
      <c r="Q46" s="34">
        <v>108.1</v>
      </c>
      <c r="S46" s="34" t="s">
        <v>92</v>
      </c>
      <c r="T46" s="34" t="s">
        <v>91</v>
      </c>
      <c r="U46" s="34"/>
      <c r="V46" s="35">
        <v>46176</v>
      </c>
      <c r="W46" s="35">
        <v>46172</v>
      </c>
      <c r="X46" s="35"/>
      <c r="Y46" s="34" t="s">
        <v>103</v>
      </c>
      <c r="Z46" s="34">
        <v>3</v>
      </c>
      <c r="AA46" s="34"/>
      <c r="AB46" s="34"/>
      <c r="AC46" s="34"/>
      <c r="AD46" s="34"/>
      <c r="AE46" s="34">
        <v>0.35</v>
      </c>
      <c r="AF46" s="34"/>
      <c r="AG46" s="34"/>
      <c r="AH46" s="40">
        <v>46167</v>
      </c>
      <c r="AI46" s="34" t="s">
        <v>96</v>
      </c>
      <c r="AN46" s="34" t="s">
        <v>148</v>
      </c>
      <c r="AO46" s="34" t="s">
        <v>152</v>
      </c>
      <c r="AP46" s="34">
        <v>146.93</v>
      </c>
      <c r="AQ46" s="35">
        <v>46169</v>
      </c>
      <c r="AR46" s="34" t="s">
        <v>153</v>
      </c>
      <c r="AS46" s="34" t="s">
        <v>108</v>
      </c>
      <c r="BJ46" s="17">
        <v>41</v>
      </c>
      <c r="BK46" s="17">
        <v>9</v>
      </c>
      <c r="BL46" s="34">
        <v>93</v>
      </c>
      <c r="BM46" s="34"/>
      <c r="BN46" s="34" t="s">
        <v>91</v>
      </c>
      <c r="BO46" s="35">
        <v>46176</v>
      </c>
      <c r="BP46" s="34" t="s">
        <v>103</v>
      </c>
      <c r="BQ46" s="17">
        <v>6</v>
      </c>
      <c r="BR46" s="17" t="s">
        <v>109</v>
      </c>
      <c r="BS46" s="17">
        <v>100</v>
      </c>
      <c r="CI46" s="17">
        <f t="shared" si="0"/>
        <v>193</v>
      </c>
      <c r="CM46" s="35">
        <v>46187</v>
      </c>
      <c r="CN46" s="34">
        <v>5</v>
      </c>
      <c r="CO46" s="66">
        <f>+C46-32.4</f>
        <v>130.6</v>
      </c>
      <c r="CP46" s="34" t="s">
        <v>154</v>
      </c>
      <c r="CQ46" s="34" t="s">
        <v>96</v>
      </c>
      <c r="CR46" s="35">
        <v>46204</v>
      </c>
      <c r="CS46" s="34"/>
      <c r="CT46" s="34"/>
      <c r="CU46" s="34"/>
      <c r="CV46" s="34"/>
      <c r="CW46" s="34"/>
      <c r="CX46" s="34">
        <v>0.6</v>
      </c>
      <c r="CY46" s="34"/>
      <c r="CZ46" s="34"/>
      <c r="DA46" s="34"/>
      <c r="DB46" s="34"/>
      <c r="DC46" s="34">
        <v>0.04</v>
      </c>
      <c r="DD46" s="34" t="s">
        <v>96</v>
      </c>
    </row>
    <row r="47" spans="1:108" ht="21">
      <c r="A47" s="6" t="s">
        <v>145</v>
      </c>
      <c r="B47" s="6" t="s">
        <v>155</v>
      </c>
      <c r="C47" s="6">
        <v>189.75</v>
      </c>
      <c r="D47" s="8" t="s">
        <v>99</v>
      </c>
      <c r="E47" s="7" t="s">
        <v>147</v>
      </c>
      <c r="G47" s="17" t="s">
        <v>126</v>
      </c>
      <c r="P47" s="34">
        <v>78.8</v>
      </c>
      <c r="Q47" s="34">
        <v>110.8</v>
      </c>
      <c r="S47" s="34" t="s">
        <v>92</v>
      </c>
      <c r="T47" s="34" t="s">
        <v>91</v>
      </c>
      <c r="U47" s="34"/>
      <c r="V47" s="35">
        <v>46175</v>
      </c>
      <c r="W47" s="35">
        <v>46172</v>
      </c>
      <c r="X47" s="35"/>
      <c r="Y47" s="34" t="s">
        <v>103</v>
      </c>
      <c r="Z47" s="34">
        <v>3</v>
      </c>
      <c r="AA47" s="34"/>
      <c r="AB47" s="34"/>
      <c r="AC47" s="34"/>
      <c r="AD47" s="34"/>
      <c r="AE47" s="34">
        <v>0.35</v>
      </c>
      <c r="AF47" s="34"/>
      <c r="AG47" s="34"/>
      <c r="AH47" s="40">
        <v>46167</v>
      </c>
      <c r="AI47" s="34" t="s">
        <v>96</v>
      </c>
      <c r="AN47" s="34" t="s">
        <v>148</v>
      </c>
      <c r="AO47" s="34" t="s">
        <v>130</v>
      </c>
      <c r="AP47" s="34">
        <v>146.93</v>
      </c>
      <c r="AQ47" s="35">
        <v>46162</v>
      </c>
      <c r="AR47" s="34" t="s">
        <v>96</v>
      </c>
      <c r="AS47" s="34" t="s">
        <v>108</v>
      </c>
      <c r="BJ47" s="17">
        <v>43</v>
      </c>
      <c r="BK47" s="17">
        <v>9</v>
      </c>
      <c r="BL47" s="34">
        <v>93</v>
      </c>
      <c r="BM47" s="34"/>
      <c r="BN47" s="34" t="s">
        <v>91</v>
      </c>
      <c r="BO47" s="35">
        <v>46176</v>
      </c>
      <c r="BP47" s="34" t="s">
        <v>103</v>
      </c>
      <c r="BQ47" s="17">
        <v>6</v>
      </c>
      <c r="BR47" s="17" t="s">
        <v>109</v>
      </c>
      <c r="BS47" s="17">
        <v>100</v>
      </c>
      <c r="CI47" s="17">
        <f t="shared" si="0"/>
        <v>193</v>
      </c>
      <c r="CJ47" s="19"/>
      <c r="CM47" s="35">
        <v>46191</v>
      </c>
      <c r="CN47" s="34">
        <v>5</v>
      </c>
      <c r="CO47" s="34">
        <f>+C47-38.3</f>
        <v>151.44999999999999</v>
      </c>
      <c r="CP47" s="34" t="s">
        <v>156</v>
      </c>
      <c r="CQ47" s="34" t="s">
        <v>96</v>
      </c>
      <c r="CR47" s="35">
        <v>46204</v>
      </c>
      <c r="CS47" s="34"/>
      <c r="CT47" s="34"/>
      <c r="CU47" s="34"/>
      <c r="CV47" s="34"/>
      <c r="CW47" s="34"/>
      <c r="CX47" s="34">
        <v>0.6</v>
      </c>
      <c r="CY47" s="34"/>
      <c r="CZ47" s="34"/>
      <c r="DA47" s="34"/>
      <c r="DB47" s="34"/>
      <c r="DC47" s="34">
        <v>0.04</v>
      </c>
      <c r="DD47" s="34" t="s">
        <v>96</v>
      </c>
    </row>
    <row r="48" spans="1:108" ht="21">
      <c r="A48" s="6" t="s">
        <v>145</v>
      </c>
      <c r="B48" s="6" t="s">
        <v>157</v>
      </c>
      <c r="C48" s="6">
        <v>169.61</v>
      </c>
      <c r="D48" s="8" t="s">
        <v>99</v>
      </c>
      <c r="E48" s="7" t="s">
        <v>147</v>
      </c>
      <c r="G48" s="17" t="s">
        <v>126</v>
      </c>
      <c r="P48" s="34">
        <v>91</v>
      </c>
      <c r="Q48" s="34">
        <v>142.69999999999999</v>
      </c>
      <c r="S48" s="34" t="s">
        <v>92</v>
      </c>
      <c r="T48" s="34" t="s">
        <v>91</v>
      </c>
      <c r="U48" s="34"/>
      <c r="V48" s="35">
        <v>46176</v>
      </c>
      <c r="W48" s="35">
        <v>46172</v>
      </c>
      <c r="X48" s="35"/>
      <c r="Y48" s="34" t="s">
        <v>103</v>
      </c>
      <c r="Z48" s="34">
        <v>3</v>
      </c>
      <c r="AA48" s="34"/>
      <c r="AB48" s="34"/>
      <c r="AC48" s="34"/>
      <c r="AD48" s="34"/>
      <c r="AE48" s="34">
        <v>0.35</v>
      </c>
      <c r="AF48" s="34"/>
      <c r="AG48" s="34"/>
      <c r="AH48" s="40">
        <v>46167</v>
      </c>
      <c r="AI48" s="34" t="s">
        <v>96</v>
      </c>
      <c r="AN48" s="34" t="s">
        <v>148</v>
      </c>
      <c r="AO48" s="34" t="s">
        <v>152</v>
      </c>
      <c r="AP48" s="34">
        <v>146.93</v>
      </c>
      <c r="AQ48" s="35">
        <v>46172</v>
      </c>
      <c r="AR48" s="34" t="s">
        <v>96</v>
      </c>
      <c r="AS48" s="34" t="s">
        <v>108</v>
      </c>
      <c r="BJ48" s="17">
        <v>42</v>
      </c>
      <c r="BK48" s="17">
        <v>9</v>
      </c>
      <c r="BL48" s="34">
        <v>93</v>
      </c>
      <c r="BM48" s="34"/>
      <c r="BN48" s="34" t="s">
        <v>91</v>
      </c>
      <c r="BO48" s="35">
        <v>46176</v>
      </c>
      <c r="BP48" s="34" t="s">
        <v>103</v>
      </c>
      <c r="BQ48" s="17">
        <v>8</v>
      </c>
      <c r="BR48" s="17" t="s">
        <v>109</v>
      </c>
      <c r="BS48" s="17">
        <v>100</v>
      </c>
      <c r="CI48" s="17">
        <f t="shared" si="0"/>
        <v>193</v>
      </c>
      <c r="CM48" s="35">
        <v>46199</v>
      </c>
      <c r="CN48" s="34">
        <v>5</v>
      </c>
      <c r="CO48" s="34">
        <f>+C48-32.5</f>
        <v>137.11000000000001</v>
      </c>
      <c r="CP48" s="34" t="s">
        <v>158</v>
      </c>
      <c r="CQ48" s="34" t="s">
        <v>96</v>
      </c>
      <c r="CR48" s="35">
        <v>46204</v>
      </c>
      <c r="CS48" s="34"/>
      <c r="CT48" s="34"/>
      <c r="CU48" s="34"/>
      <c r="CV48" s="34"/>
      <c r="CW48" s="34"/>
      <c r="CX48" s="34">
        <v>0.6</v>
      </c>
      <c r="CY48" s="34"/>
      <c r="CZ48" s="34"/>
      <c r="DA48" s="34"/>
      <c r="DB48" s="34"/>
      <c r="DC48" s="34">
        <v>0.04</v>
      </c>
      <c r="DD48" s="34" t="s">
        <v>96</v>
      </c>
    </row>
    <row r="49" spans="1:108" ht="21">
      <c r="A49" s="6" t="s">
        <v>145</v>
      </c>
      <c r="B49" s="6" t="s">
        <v>159</v>
      </c>
      <c r="C49" s="6">
        <v>118.35</v>
      </c>
      <c r="D49" s="8" t="s">
        <v>99</v>
      </c>
      <c r="E49" s="7" t="s">
        <v>147</v>
      </c>
      <c r="G49" s="17" t="s">
        <v>126</v>
      </c>
      <c r="P49" s="34">
        <v>84.8</v>
      </c>
      <c r="Q49" s="34">
        <v>105.9</v>
      </c>
      <c r="S49" s="34" t="s">
        <v>92</v>
      </c>
      <c r="T49" s="34" t="s">
        <v>91</v>
      </c>
      <c r="U49" s="34"/>
      <c r="V49" s="35">
        <v>46175</v>
      </c>
      <c r="W49" s="35">
        <v>46172</v>
      </c>
      <c r="X49" s="35"/>
      <c r="Y49" s="34" t="s">
        <v>103</v>
      </c>
      <c r="Z49" s="34">
        <v>3</v>
      </c>
      <c r="AA49" s="34"/>
      <c r="AB49" s="34"/>
      <c r="AC49" s="34"/>
      <c r="AD49" s="34"/>
      <c r="AE49" s="34">
        <v>0.35</v>
      </c>
      <c r="AF49" s="34"/>
      <c r="AG49" s="34"/>
      <c r="AH49" s="40">
        <v>46167</v>
      </c>
      <c r="AI49" s="34" t="s">
        <v>96</v>
      </c>
      <c r="AN49" s="34" t="s">
        <v>160</v>
      </c>
      <c r="AO49" s="34" t="s">
        <v>130</v>
      </c>
      <c r="AP49" s="34">
        <v>120.28</v>
      </c>
      <c r="AQ49" s="35">
        <v>46166</v>
      </c>
      <c r="AR49" s="34" t="s">
        <v>153</v>
      </c>
      <c r="AS49" s="34" t="s">
        <v>108</v>
      </c>
      <c r="BJ49" s="17">
        <v>41</v>
      </c>
      <c r="BK49" s="17">
        <v>9</v>
      </c>
      <c r="BL49" s="34">
        <v>93</v>
      </c>
      <c r="BM49" s="34"/>
      <c r="BN49" s="34" t="s">
        <v>91</v>
      </c>
      <c r="BO49" s="35">
        <v>46176</v>
      </c>
      <c r="BP49" s="34" t="s">
        <v>103</v>
      </c>
      <c r="BQ49" s="17">
        <v>9</v>
      </c>
      <c r="BR49" s="17" t="s">
        <v>109</v>
      </c>
      <c r="BS49" s="17">
        <v>100</v>
      </c>
      <c r="CI49" s="17">
        <f t="shared" si="0"/>
        <v>193</v>
      </c>
      <c r="CM49" s="35">
        <v>46191</v>
      </c>
      <c r="CN49" s="34">
        <v>5</v>
      </c>
      <c r="CO49" s="34">
        <f>+C49-38.5</f>
        <v>79.849999999999994</v>
      </c>
      <c r="CP49" s="34" t="s">
        <v>161</v>
      </c>
      <c r="CQ49" s="34" t="s">
        <v>96</v>
      </c>
      <c r="CR49" s="35">
        <v>46204</v>
      </c>
      <c r="CS49" s="34"/>
      <c r="CT49" s="34"/>
      <c r="CU49" s="34"/>
      <c r="CV49" s="34"/>
      <c r="CW49" s="34"/>
      <c r="CX49" s="34">
        <v>0.6</v>
      </c>
      <c r="CY49" s="34"/>
      <c r="CZ49" s="34"/>
      <c r="DA49" s="34"/>
      <c r="DB49" s="34"/>
      <c r="DC49" s="34">
        <v>0.04</v>
      </c>
      <c r="DD49" s="34" t="s">
        <v>96</v>
      </c>
    </row>
    <row r="50" spans="1:108" ht="21">
      <c r="A50" s="6" t="s">
        <v>145</v>
      </c>
      <c r="B50" s="6" t="s">
        <v>162</v>
      </c>
      <c r="C50" s="6">
        <v>243.29</v>
      </c>
      <c r="D50" s="8" t="s">
        <v>99</v>
      </c>
      <c r="E50" s="7" t="s">
        <v>147</v>
      </c>
      <c r="G50" s="17" t="s">
        <v>126</v>
      </c>
      <c r="P50" s="34">
        <v>105.1</v>
      </c>
      <c r="Q50" s="34">
        <v>88.1</v>
      </c>
      <c r="S50" s="34" t="s">
        <v>92</v>
      </c>
      <c r="T50" s="34" t="s">
        <v>91</v>
      </c>
      <c r="U50" s="34"/>
      <c r="V50" s="35">
        <v>46174</v>
      </c>
      <c r="W50" s="35">
        <v>46172</v>
      </c>
      <c r="X50" s="35"/>
      <c r="Y50" s="34" t="s">
        <v>103</v>
      </c>
      <c r="Z50" s="34">
        <v>3</v>
      </c>
      <c r="AA50" s="34"/>
      <c r="AB50" s="34"/>
      <c r="AC50" s="34"/>
      <c r="AD50" s="34"/>
      <c r="AE50" s="34">
        <v>0.35</v>
      </c>
      <c r="AF50" s="34"/>
      <c r="AG50" s="34"/>
      <c r="AH50" s="40">
        <v>46167</v>
      </c>
      <c r="AI50" s="34" t="s">
        <v>96</v>
      </c>
      <c r="AN50" s="34" t="s">
        <v>160</v>
      </c>
      <c r="AO50" s="34" t="s">
        <v>130</v>
      </c>
      <c r="AP50" s="34">
        <v>120.28</v>
      </c>
      <c r="AQ50" s="35">
        <v>46163</v>
      </c>
      <c r="AR50" s="34" t="s">
        <v>153</v>
      </c>
      <c r="AS50" s="34" t="s">
        <v>108</v>
      </c>
      <c r="BJ50" s="17">
        <v>41</v>
      </c>
      <c r="BK50" s="17">
        <v>9</v>
      </c>
      <c r="BL50" s="34">
        <v>93</v>
      </c>
      <c r="BM50" s="34"/>
      <c r="BN50" s="34" t="s">
        <v>91</v>
      </c>
      <c r="BO50" s="35">
        <v>46176</v>
      </c>
      <c r="BP50" s="34" t="s">
        <v>103</v>
      </c>
      <c r="BQ50" s="17">
        <v>11</v>
      </c>
      <c r="BR50" s="17" t="s">
        <v>109</v>
      </c>
      <c r="BS50" s="17">
        <v>100</v>
      </c>
      <c r="CI50" s="17">
        <f t="shared" si="0"/>
        <v>193</v>
      </c>
      <c r="CM50" s="35">
        <v>46187</v>
      </c>
      <c r="CN50" s="34">
        <v>5</v>
      </c>
      <c r="CO50" s="34">
        <f>+C50-45.3</f>
        <v>197.99</v>
      </c>
      <c r="CP50" s="34" t="s">
        <v>163</v>
      </c>
      <c r="CQ50" s="34" t="s">
        <v>96</v>
      </c>
      <c r="CR50" s="35">
        <v>46204</v>
      </c>
      <c r="CS50" s="34"/>
      <c r="CT50" s="34"/>
      <c r="CU50" s="34"/>
      <c r="CV50" s="34"/>
      <c r="CW50" s="34"/>
      <c r="CX50" s="34">
        <v>0.6</v>
      </c>
      <c r="CY50" s="34"/>
      <c r="CZ50" s="34"/>
      <c r="DA50" s="34"/>
      <c r="DB50" s="34"/>
      <c r="DC50" s="34">
        <v>0.04</v>
      </c>
      <c r="DD50" s="34" t="s">
        <v>96</v>
      </c>
    </row>
    <row r="51" spans="1:108" ht="21" hidden="1">
      <c r="A51" s="6" t="s">
        <v>145</v>
      </c>
      <c r="B51" s="6" t="s">
        <v>164</v>
      </c>
      <c r="C51" s="6">
        <v>201.78</v>
      </c>
      <c r="D51" s="8" t="s">
        <v>99</v>
      </c>
      <c r="E51" s="7" t="s">
        <v>100</v>
      </c>
      <c r="AH51" s="18"/>
      <c r="AN51" s="34" t="s">
        <v>129</v>
      </c>
      <c r="AO51" s="34" t="s">
        <v>130</v>
      </c>
      <c r="AP51" s="34">
        <v>10</v>
      </c>
      <c r="AQ51" s="35">
        <v>46143</v>
      </c>
      <c r="AR51" s="34" t="s">
        <v>131</v>
      </c>
      <c r="AS51" s="34" t="s">
        <v>144</v>
      </c>
      <c r="CI51" s="17">
        <f t="shared" si="0"/>
        <v>0</v>
      </c>
      <c r="CR51" s="35">
        <v>46199</v>
      </c>
      <c r="CS51" s="34"/>
      <c r="CT51" s="34"/>
      <c r="CU51" s="34"/>
      <c r="CV51" s="34">
        <v>0.1</v>
      </c>
      <c r="CW51" s="34">
        <v>0.8</v>
      </c>
      <c r="CX51" s="34"/>
      <c r="CY51" s="34"/>
      <c r="CZ51" s="34"/>
      <c r="DA51" s="34"/>
      <c r="DB51" s="34"/>
      <c r="DC51" s="67"/>
      <c r="DD51" s="34" t="s">
        <v>96</v>
      </c>
    </row>
    <row r="52" spans="1:108" ht="21" hidden="1">
      <c r="A52" s="6" t="s">
        <v>145</v>
      </c>
      <c r="B52" s="6" t="s">
        <v>165</v>
      </c>
      <c r="C52" s="6">
        <v>150.52000000000001</v>
      </c>
      <c r="D52" s="8" t="s">
        <v>99</v>
      </c>
      <c r="E52" s="7" t="s">
        <v>100</v>
      </c>
      <c r="AH52" s="18"/>
      <c r="AN52" s="34" t="s">
        <v>129</v>
      </c>
      <c r="AO52" s="34" t="s">
        <v>130</v>
      </c>
      <c r="AP52" s="34">
        <v>10</v>
      </c>
      <c r="AQ52" s="35">
        <v>46143</v>
      </c>
      <c r="AR52" s="34" t="s">
        <v>131</v>
      </c>
      <c r="AS52" s="34" t="s">
        <v>144</v>
      </c>
      <c r="CI52" s="17">
        <f t="shared" si="0"/>
        <v>0</v>
      </c>
      <c r="CR52" s="35">
        <v>46199</v>
      </c>
      <c r="CS52" s="34"/>
      <c r="CT52" s="34"/>
      <c r="CU52" s="34"/>
      <c r="CV52" s="34">
        <v>0.1</v>
      </c>
      <c r="CW52" s="34">
        <v>0.8</v>
      </c>
      <c r="CX52" s="34"/>
      <c r="CY52" s="34"/>
      <c r="CZ52" s="34"/>
      <c r="DA52" s="34"/>
      <c r="DB52" s="34"/>
      <c r="DC52" s="67"/>
      <c r="DD52" s="34" t="s">
        <v>96</v>
      </c>
    </row>
    <row r="53" spans="1:108" ht="21" hidden="1">
      <c r="A53" s="6" t="s">
        <v>145</v>
      </c>
      <c r="B53" s="6" t="s">
        <v>166</v>
      </c>
      <c r="C53" s="6">
        <v>225.15</v>
      </c>
      <c r="D53" s="8" t="s">
        <v>99</v>
      </c>
      <c r="E53" s="7" t="s">
        <v>100</v>
      </c>
      <c r="AH53" s="18"/>
      <c r="AN53" s="34" t="s">
        <v>129</v>
      </c>
      <c r="AO53" s="34" t="s">
        <v>130</v>
      </c>
      <c r="AP53" s="34">
        <v>10</v>
      </c>
      <c r="AQ53" s="35">
        <v>46143</v>
      </c>
      <c r="AR53" s="34" t="s">
        <v>131</v>
      </c>
      <c r="AS53" s="34" t="s">
        <v>144</v>
      </c>
      <c r="CI53" s="17">
        <f t="shared" si="0"/>
        <v>0</v>
      </c>
      <c r="CR53" s="35">
        <v>46199</v>
      </c>
      <c r="CS53" s="34"/>
      <c r="CT53" s="34"/>
      <c r="CU53" s="34"/>
      <c r="CV53" s="34">
        <v>0.1</v>
      </c>
      <c r="CW53" s="34">
        <v>0.8</v>
      </c>
      <c r="CX53" s="34"/>
      <c r="CY53" s="34"/>
      <c r="CZ53" s="34"/>
      <c r="DA53" s="34"/>
      <c r="DB53" s="34"/>
      <c r="DC53" s="67"/>
      <c r="DD53" s="34" t="s">
        <v>96</v>
      </c>
    </row>
    <row r="54" spans="1:108" ht="21">
      <c r="A54" s="6" t="s">
        <v>167</v>
      </c>
      <c r="B54" s="6" t="s">
        <v>168</v>
      </c>
      <c r="C54" s="6">
        <v>116.8</v>
      </c>
      <c r="D54" s="8" t="s">
        <v>88</v>
      </c>
      <c r="E54" s="7" t="s">
        <v>89</v>
      </c>
      <c r="G54" s="17" t="s">
        <v>169</v>
      </c>
      <c r="H54" s="69" t="s">
        <v>170</v>
      </c>
      <c r="I54" s="70">
        <v>3</v>
      </c>
      <c r="J54" s="70">
        <v>4</v>
      </c>
      <c r="K54" s="70">
        <v>0.34</v>
      </c>
      <c r="L54" s="70">
        <v>7</v>
      </c>
      <c r="M54" s="70">
        <v>0.66</v>
      </c>
      <c r="N54" s="71">
        <v>5.5E-2</v>
      </c>
      <c r="P54" s="17">
        <v>110</v>
      </c>
      <c r="Q54" s="17">
        <v>150</v>
      </c>
      <c r="R54" s="17">
        <v>100</v>
      </c>
      <c r="S54" s="17" t="s">
        <v>92</v>
      </c>
      <c r="T54" s="17" t="s">
        <v>91</v>
      </c>
      <c r="U54" s="17" t="s">
        <v>92</v>
      </c>
      <c r="V54" s="19">
        <v>46163</v>
      </c>
      <c r="W54" s="19">
        <v>46165</v>
      </c>
      <c r="X54" s="19">
        <v>46163</v>
      </c>
      <c r="Y54" s="17" t="s">
        <v>171</v>
      </c>
      <c r="Z54" s="17">
        <v>3</v>
      </c>
      <c r="AB54" s="17">
        <v>0.5</v>
      </c>
      <c r="AH54" s="18">
        <v>46162</v>
      </c>
      <c r="AI54" s="17" t="s">
        <v>172</v>
      </c>
      <c r="AN54" s="17" t="s">
        <v>173</v>
      </c>
      <c r="AO54" s="17" t="s">
        <v>174</v>
      </c>
      <c r="AP54" s="17">
        <v>3.4</v>
      </c>
      <c r="AQ54" s="19">
        <v>46162</v>
      </c>
      <c r="AR54" s="17" t="s">
        <v>175</v>
      </c>
      <c r="AS54" s="17" t="s">
        <v>97</v>
      </c>
      <c r="BJ54" s="17">
        <v>21</v>
      </c>
      <c r="BK54" s="17">
        <v>8</v>
      </c>
      <c r="BL54" s="17">
        <v>100</v>
      </c>
      <c r="BN54" s="17" t="s">
        <v>91</v>
      </c>
      <c r="BO54" s="19">
        <v>46178</v>
      </c>
      <c r="BP54" s="17" t="s">
        <v>171</v>
      </c>
      <c r="BQ54" s="17">
        <v>20</v>
      </c>
      <c r="BR54" s="19">
        <v>46218</v>
      </c>
      <c r="BS54" s="17">
        <v>70</v>
      </c>
      <c r="BT54" s="17" t="s">
        <v>91</v>
      </c>
      <c r="BV54" s="17" t="s">
        <v>171</v>
      </c>
      <c r="CI54" s="17">
        <f>+CE54+BY54+BS54+BL54</f>
        <v>170</v>
      </c>
    </row>
    <row r="55" spans="1:108" ht="21">
      <c r="A55" s="6" t="s">
        <v>167</v>
      </c>
      <c r="B55" s="6" t="s">
        <v>176</v>
      </c>
      <c r="C55" s="6">
        <v>69</v>
      </c>
      <c r="D55" s="8" t="s">
        <v>88</v>
      </c>
      <c r="E55" s="7" t="s">
        <v>89</v>
      </c>
      <c r="G55" s="17" t="s">
        <v>169</v>
      </c>
      <c r="H55" s="69" t="s">
        <v>170</v>
      </c>
      <c r="I55" s="70">
        <v>2</v>
      </c>
      <c r="J55" s="70">
        <v>2</v>
      </c>
      <c r="K55" s="70">
        <v>0.63</v>
      </c>
      <c r="L55" s="70">
        <v>6</v>
      </c>
      <c r="M55" s="70">
        <v>1.26</v>
      </c>
      <c r="N55" s="71">
        <v>4.8000000000000001E-2</v>
      </c>
      <c r="P55" s="17">
        <v>132</v>
      </c>
      <c r="Q55" s="17">
        <v>150</v>
      </c>
      <c r="R55" s="17">
        <v>100</v>
      </c>
      <c r="S55" s="17" t="s">
        <v>92</v>
      </c>
      <c r="T55" s="17" t="s">
        <v>91</v>
      </c>
      <c r="U55" s="17" t="s">
        <v>92</v>
      </c>
      <c r="V55" s="18">
        <v>46163</v>
      </c>
      <c r="W55" s="19">
        <v>46165</v>
      </c>
      <c r="X55" s="19">
        <v>46163</v>
      </c>
      <c r="Y55" s="17" t="s">
        <v>171</v>
      </c>
      <c r="Z55" s="17">
        <v>3</v>
      </c>
      <c r="AB55" s="17">
        <v>0.5</v>
      </c>
      <c r="AH55" s="18">
        <v>46162</v>
      </c>
      <c r="AI55" s="17" t="s">
        <v>172</v>
      </c>
      <c r="AN55" s="17" t="s">
        <v>177</v>
      </c>
      <c r="AO55" s="17" t="s">
        <v>174</v>
      </c>
      <c r="AP55" s="17">
        <v>3.4</v>
      </c>
      <c r="AQ55" s="19">
        <v>46162</v>
      </c>
      <c r="AR55" s="17" t="s">
        <v>175</v>
      </c>
      <c r="AS55" s="17" t="s">
        <v>97</v>
      </c>
      <c r="BJ55" s="17">
        <v>21</v>
      </c>
      <c r="BK55" s="17">
        <v>8</v>
      </c>
      <c r="BL55" s="17">
        <v>100</v>
      </c>
      <c r="BN55" s="17" t="s">
        <v>91</v>
      </c>
      <c r="BO55" s="19">
        <v>46178</v>
      </c>
      <c r="BP55" s="17" t="s">
        <v>171</v>
      </c>
      <c r="BQ55" s="17">
        <v>20</v>
      </c>
      <c r="BR55" s="19">
        <v>46218</v>
      </c>
      <c r="BS55" s="17">
        <v>70</v>
      </c>
      <c r="BT55" s="17" t="s">
        <v>91</v>
      </c>
      <c r="BV55" s="17" t="s">
        <v>171</v>
      </c>
      <c r="CI55" s="17">
        <f t="shared" si="0"/>
        <v>170</v>
      </c>
    </row>
    <row r="56" spans="1:108" ht="21">
      <c r="A56" s="6" t="s">
        <v>167</v>
      </c>
      <c r="B56" s="6" t="s">
        <v>178</v>
      </c>
      <c r="C56" s="6">
        <v>62</v>
      </c>
      <c r="D56" s="8" t="s">
        <v>88</v>
      </c>
      <c r="E56" s="7" t="s">
        <v>106</v>
      </c>
      <c r="G56" s="17" t="s">
        <v>169</v>
      </c>
      <c r="H56" s="69" t="s">
        <v>170</v>
      </c>
      <c r="I56" s="70">
        <v>3</v>
      </c>
      <c r="J56" s="70">
        <v>6</v>
      </c>
      <c r="K56" s="70">
        <v>0.46</v>
      </c>
      <c r="L56" s="70">
        <v>7</v>
      </c>
      <c r="M56" s="70">
        <v>0.55000000000000004</v>
      </c>
      <c r="N56" s="71">
        <v>5.3999999999999999E-2</v>
      </c>
      <c r="O56" s="17">
        <v>150</v>
      </c>
      <c r="P56" s="17">
        <v>160</v>
      </c>
      <c r="S56" s="17" t="s">
        <v>91</v>
      </c>
      <c r="T56" s="17" t="s">
        <v>91</v>
      </c>
      <c r="V56" s="19">
        <v>46171</v>
      </c>
      <c r="W56" s="19">
        <v>46176</v>
      </c>
      <c r="Y56" s="17" t="s">
        <v>171</v>
      </c>
      <c r="Z56" s="17">
        <v>2.5</v>
      </c>
      <c r="AC56" s="17">
        <v>0.8</v>
      </c>
      <c r="AH56" s="18">
        <v>46161</v>
      </c>
      <c r="AI56" s="17" t="s">
        <v>172</v>
      </c>
      <c r="AN56" s="17" t="s">
        <v>179</v>
      </c>
      <c r="AO56" s="17" t="s">
        <v>180</v>
      </c>
      <c r="AP56" s="17">
        <v>135</v>
      </c>
      <c r="AQ56" s="19">
        <v>46164</v>
      </c>
      <c r="AR56" s="17" t="s">
        <v>175</v>
      </c>
      <c r="AS56" s="17" t="s">
        <v>108</v>
      </c>
      <c r="BJ56" s="17">
        <v>46</v>
      </c>
      <c r="BK56" s="17">
        <v>9</v>
      </c>
      <c r="BL56" s="17">
        <v>100</v>
      </c>
      <c r="BN56" s="17" t="s">
        <v>91</v>
      </c>
      <c r="BO56" s="19">
        <v>46177</v>
      </c>
      <c r="BP56" s="17" t="s">
        <v>171</v>
      </c>
      <c r="BW56" s="19">
        <v>46218</v>
      </c>
      <c r="BY56" s="17">
        <v>70</v>
      </c>
      <c r="BZ56" s="17" t="s">
        <v>91</v>
      </c>
      <c r="CB56" s="17" t="s">
        <v>171</v>
      </c>
      <c r="CI56" s="17">
        <f t="shared" si="0"/>
        <v>170</v>
      </c>
    </row>
    <row r="57" spans="1:108" ht="21">
      <c r="A57" s="6" t="s">
        <v>167</v>
      </c>
      <c r="B57" s="6" t="s">
        <v>181</v>
      </c>
      <c r="C57" s="6">
        <f>98-C56</f>
        <v>36</v>
      </c>
      <c r="D57" s="8" t="s">
        <v>88</v>
      </c>
      <c r="E57" s="7" t="s">
        <v>106</v>
      </c>
      <c r="G57" s="17" t="s">
        <v>169</v>
      </c>
      <c r="H57" s="69" t="s">
        <v>170</v>
      </c>
      <c r="I57" s="70">
        <v>3</v>
      </c>
      <c r="J57" s="70">
        <v>6</v>
      </c>
      <c r="K57" s="70">
        <v>0.46</v>
      </c>
      <c r="L57" s="70">
        <v>7</v>
      </c>
      <c r="M57" s="70">
        <v>0.55000000000000004</v>
      </c>
      <c r="N57" s="71">
        <v>5.3999999999999999E-2</v>
      </c>
      <c r="O57" s="17">
        <v>150</v>
      </c>
      <c r="P57" s="17">
        <v>160</v>
      </c>
      <c r="S57" s="17" t="s">
        <v>91</v>
      </c>
      <c r="T57" s="17" t="s">
        <v>91</v>
      </c>
      <c r="V57" s="19">
        <v>46171</v>
      </c>
      <c r="W57" s="19">
        <v>46176</v>
      </c>
      <c r="Y57" s="17" t="s">
        <v>171</v>
      </c>
      <c r="Z57" s="17">
        <v>2.5</v>
      </c>
      <c r="AC57" s="17">
        <v>0.8</v>
      </c>
      <c r="AH57" s="18">
        <v>46161</v>
      </c>
      <c r="AI57" s="17" t="s">
        <v>172</v>
      </c>
      <c r="AN57" s="17" t="s">
        <v>179</v>
      </c>
      <c r="AO57" s="17" t="s">
        <v>180</v>
      </c>
      <c r="AP57" s="17">
        <v>135</v>
      </c>
      <c r="AQ57" s="19">
        <v>46164</v>
      </c>
      <c r="AR57" s="17" t="s">
        <v>175</v>
      </c>
      <c r="AS57" s="17" t="s">
        <v>108</v>
      </c>
      <c r="BJ57" s="17">
        <v>46</v>
      </c>
      <c r="BK57" s="17">
        <v>9</v>
      </c>
      <c r="BL57" s="17">
        <v>100</v>
      </c>
      <c r="BN57" s="17" t="s">
        <v>91</v>
      </c>
      <c r="BO57" s="19">
        <v>46177</v>
      </c>
      <c r="BP57" s="17" t="s">
        <v>171</v>
      </c>
      <c r="BW57" s="19">
        <v>46218</v>
      </c>
      <c r="BY57" s="17">
        <v>70</v>
      </c>
      <c r="BZ57" s="17" t="s">
        <v>91</v>
      </c>
      <c r="CB57" s="17" t="s">
        <v>171</v>
      </c>
      <c r="CI57" s="17">
        <f t="shared" si="0"/>
        <v>170</v>
      </c>
    </row>
    <row r="58" spans="1:108" ht="21">
      <c r="A58" s="6" t="s">
        <v>167</v>
      </c>
      <c r="B58" s="6" t="s">
        <v>182</v>
      </c>
      <c r="C58" s="6">
        <v>18.7</v>
      </c>
      <c r="D58" s="8" t="s">
        <v>88</v>
      </c>
      <c r="E58" s="7" t="s">
        <v>106</v>
      </c>
      <c r="G58" s="17" t="s">
        <v>169</v>
      </c>
      <c r="H58" s="69" t="s">
        <v>170</v>
      </c>
      <c r="I58" s="70">
        <v>3</v>
      </c>
      <c r="J58" s="70">
        <v>3</v>
      </c>
      <c r="K58" s="70">
        <v>0.69</v>
      </c>
      <c r="L58" s="70">
        <v>12</v>
      </c>
      <c r="M58" s="70">
        <v>1.98</v>
      </c>
      <c r="N58" s="71">
        <v>6.7000000000000004E-2</v>
      </c>
      <c r="O58" s="17">
        <v>148</v>
      </c>
      <c r="P58" s="17">
        <v>120</v>
      </c>
      <c r="S58" s="17" t="s">
        <v>91</v>
      </c>
      <c r="T58" s="17" t="s">
        <v>91</v>
      </c>
      <c r="V58" s="19">
        <v>46171</v>
      </c>
      <c r="W58" s="19">
        <v>46176</v>
      </c>
      <c r="Y58" s="17" t="s">
        <v>171</v>
      </c>
      <c r="Z58" s="17">
        <v>3.5</v>
      </c>
      <c r="AC58" s="17">
        <v>1</v>
      </c>
      <c r="AH58" s="18">
        <v>46161</v>
      </c>
      <c r="AI58" s="17" t="s">
        <v>172</v>
      </c>
      <c r="AN58" s="17" t="s">
        <v>179</v>
      </c>
      <c r="AO58" s="17" t="s">
        <v>180</v>
      </c>
      <c r="AP58" s="17">
        <v>135</v>
      </c>
      <c r="AQ58" s="19">
        <v>46164</v>
      </c>
      <c r="AR58" s="17" t="s">
        <v>175</v>
      </c>
      <c r="AS58" s="17" t="s">
        <v>108</v>
      </c>
      <c r="BJ58" s="17">
        <v>46</v>
      </c>
      <c r="BK58" s="17">
        <v>9</v>
      </c>
      <c r="BL58" s="17">
        <v>100</v>
      </c>
      <c r="BN58" s="17" t="s">
        <v>91</v>
      </c>
      <c r="BO58" s="19">
        <v>46177</v>
      </c>
      <c r="BP58" s="17" t="s">
        <v>171</v>
      </c>
      <c r="BW58" s="19">
        <v>46218</v>
      </c>
      <c r="BY58" s="17">
        <v>70</v>
      </c>
      <c r="BZ58" s="17" t="s">
        <v>91</v>
      </c>
      <c r="CB58" s="17" t="s">
        <v>171</v>
      </c>
      <c r="CI58" s="17">
        <f t="shared" si="0"/>
        <v>170</v>
      </c>
    </row>
    <row r="59" spans="1:108" ht="21">
      <c r="A59" s="6" t="s">
        <v>167</v>
      </c>
      <c r="B59" s="6" t="s">
        <v>183</v>
      </c>
      <c r="C59" s="6">
        <v>37.1</v>
      </c>
      <c r="D59" s="8" t="s">
        <v>88</v>
      </c>
      <c r="E59" s="7" t="s">
        <v>106</v>
      </c>
      <c r="G59" s="17" t="s">
        <v>169</v>
      </c>
      <c r="H59" s="69" t="s">
        <v>170</v>
      </c>
      <c r="I59" s="70">
        <v>2</v>
      </c>
      <c r="J59" s="70">
        <v>1</v>
      </c>
      <c r="K59" s="70">
        <v>0.31</v>
      </c>
      <c r="L59" s="70">
        <v>15</v>
      </c>
      <c r="M59" s="70">
        <v>1.08</v>
      </c>
      <c r="N59" s="71">
        <v>6.7000000000000004E-2</v>
      </c>
      <c r="O59" s="17">
        <v>136</v>
      </c>
      <c r="P59" s="17">
        <v>160</v>
      </c>
      <c r="S59" s="17" t="s">
        <v>91</v>
      </c>
      <c r="T59" s="17" t="s">
        <v>91</v>
      </c>
      <c r="V59" s="19">
        <v>46171</v>
      </c>
      <c r="W59" s="19">
        <v>46176</v>
      </c>
      <c r="Y59" s="17" t="s">
        <v>171</v>
      </c>
      <c r="Z59" s="17">
        <v>2.5</v>
      </c>
      <c r="AC59" s="17">
        <v>0.8</v>
      </c>
      <c r="AH59" s="18">
        <v>46161</v>
      </c>
      <c r="AI59" s="17" t="s">
        <v>172</v>
      </c>
      <c r="AN59" s="17" t="s">
        <v>179</v>
      </c>
      <c r="AO59" s="17" t="s">
        <v>180</v>
      </c>
      <c r="AP59" s="17">
        <v>135</v>
      </c>
      <c r="AQ59" s="19">
        <v>46164</v>
      </c>
      <c r="AR59" s="17" t="s">
        <v>175</v>
      </c>
      <c r="AS59" s="17" t="s">
        <v>108</v>
      </c>
      <c r="BJ59" s="17">
        <v>46</v>
      </c>
      <c r="BK59" s="17">
        <v>9</v>
      </c>
      <c r="BL59" s="17">
        <v>100</v>
      </c>
      <c r="BN59" s="17" t="s">
        <v>91</v>
      </c>
      <c r="BO59" s="19">
        <v>46177</v>
      </c>
      <c r="BP59" s="17" t="s">
        <v>171</v>
      </c>
      <c r="BW59" s="19">
        <v>46218</v>
      </c>
      <c r="BY59" s="17">
        <v>70</v>
      </c>
      <c r="BZ59" s="17" t="s">
        <v>91</v>
      </c>
      <c r="CB59" s="17" t="s">
        <v>171</v>
      </c>
      <c r="CI59" s="17">
        <f t="shared" si="0"/>
        <v>170</v>
      </c>
    </row>
    <row r="60" spans="1:108" ht="21">
      <c r="A60" s="6" t="s">
        <v>167</v>
      </c>
      <c r="B60" s="6" t="s">
        <v>184</v>
      </c>
      <c r="C60" s="6">
        <v>86</v>
      </c>
      <c r="D60" s="8" t="s">
        <v>88</v>
      </c>
      <c r="E60" s="7" t="s">
        <v>106</v>
      </c>
      <c r="G60" s="17" t="s">
        <v>169</v>
      </c>
      <c r="H60" s="69" t="s">
        <v>170</v>
      </c>
      <c r="I60" s="70">
        <v>2</v>
      </c>
      <c r="J60" s="70">
        <v>34</v>
      </c>
      <c r="K60" s="70">
        <v>0.46</v>
      </c>
      <c r="L60" s="70">
        <v>16</v>
      </c>
      <c r="M60" s="70">
        <v>1.29</v>
      </c>
      <c r="N60" s="71">
        <v>6.6000000000000003E-2</v>
      </c>
      <c r="O60" s="17">
        <v>150</v>
      </c>
      <c r="P60" s="17">
        <v>160</v>
      </c>
      <c r="S60" s="17" t="s">
        <v>91</v>
      </c>
      <c r="T60" s="17" t="s">
        <v>91</v>
      </c>
      <c r="V60" s="19">
        <v>46171</v>
      </c>
      <c r="W60" s="19">
        <v>46176</v>
      </c>
      <c r="Y60" s="17" t="s">
        <v>171</v>
      </c>
      <c r="Z60" s="17">
        <v>3.5</v>
      </c>
      <c r="AC60" s="17">
        <v>1</v>
      </c>
      <c r="AH60" s="18">
        <v>46161</v>
      </c>
      <c r="AI60" s="17" t="s">
        <v>172</v>
      </c>
      <c r="AN60" s="17" t="s">
        <v>179</v>
      </c>
      <c r="AO60" s="17" t="s">
        <v>180</v>
      </c>
      <c r="AP60" s="17">
        <v>150</v>
      </c>
      <c r="AQ60" s="19">
        <v>46168</v>
      </c>
      <c r="AR60" s="17" t="s">
        <v>175</v>
      </c>
      <c r="AS60" s="17" t="s">
        <v>108</v>
      </c>
      <c r="BJ60" s="17">
        <v>46</v>
      </c>
      <c r="BK60" s="17">
        <v>9</v>
      </c>
      <c r="BL60" s="17">
        <v>100</v>
      </c>
      <c r="BN60" s="17" t="s">
        <v>91</v>
      </c>
      <c r="BO60" s="19">
        <v>46177</v>
      </c>
      <c r="BP60" s="17" t="s">
        <v>171</v>
      </c>
      <c r="BW60" s="19">
        <v>46218</v>
      </c>
      <c r="BY60" s="17">
        <v>70</v>
      </c>
      <c r="BZ60" s="17" t="s">
        <v>91</v>
      </c>
      <c r="CB60" s="17" t="s">
        <v>171</v>
      </c>
      <c r="CI60" s="17">
        <f t="shared" si="0"/>
        <v>170</v>
      </c>
    </row>
    <row r="61" spans="1:108">
      <c r="AH61" s="18"/>
    </row>
    <row r="62" spans="1:108">
      <c r="AH62" s="18"/>
    </row>
    <row r="63" spans="1:108">
      <c r="AH63" s="18"/>
    </row>
    <row r="64" spans="1:108">
      <c r="AH64" s="18"/>
    </row>
    <row r="65" spans="34:34">
      <c r="AH65" s="18"/>
    </row>
    <row r="66" spans="34:34">
      <c r="AH66" s="18"/>
    </row>
    <row r="67" spans="34:34">
      <c r="AH67" s="18"/>
    </row>
    <row r="68" spans="34:34">
      <c r="AH68" s="18"/>
    </row>
    <row r="69" spans="34:34">
      <c r="AH69" s="18"/>
    </row>
    <row r="70" spans="34:34">
      <c r="AH70" s="18"/>
    </row>
    <row r="71" spans="34:34">
      <c r="AH71" s="18"/>
    </row>
    <row r="72" spans="34:34">
      <c r="AH72" s="18"/>
    </row>
    <row r="73" spans="34:34">
      <c r="AH73" s="18"/>
    </row>
    <row r="74" spans="34:34">
      <c r="AH74" s="18"/>
    </row>
    <row r="75" spans="34:34">
      <c r="AH75" s="18"/>
    </row>
    <row r="76" spans="34:34">
      <c r="AH76" s="18"/>
    </row>
    <row r="77" spans="34:34">
      <c r="AH77" s="18"/>
    </row>
    <row r="78" spans="34:34">
      <c r="AH78" s="18"/>
    </row>
    <row r="79" spans="34:34">
      <c r="AH79" s="18"/>
    </row>
    <row r="80" spans="34:34">
      <c r="AH80" s="18"/>
    </row>
    <row r="81" spans="34:34">
      <c r="AH81" s="18"/>
    </row>
    <row r="82" spans="34:34">
      <c r="AH82" s="18"/>
    </row>
    <row r="83" spans="34:34">
      <c r="AH83" s="18"/>
    </row>
    <row r="84" spans="34:34">
      <c r="AH84" s="18"/>
    </row>
    <row r="85" spans="34:34">
      <c r="AH85" s="18"/>
    </row>
    <row r="86" spans="34:34">
      <c r="AH86" s="18"/>
    </row>
    <row r="87" spans="34:34">
      <c r="AH87" s="18"/>
    </row>
    <row r="88" spans="34:34">
      <c r="AH88" s="18"/>
    </row>
    <row r="89" spans="34:34">
      <c r="AH89" s="18"/>
    </row>
    <row r="90" spans="34:34">
      <c r="AH90" s="18"/>
    </row>
    <row r="91" spans="34:34">
      <c r="AH91" s="18"/>
    </row>
    <row r="92" spans="34:34">
      <c r="AH92" s="18"/>
    </row>
    <row r="93" spans="34:34">
      <c r="AH93" s="18"/>
    </row>
    <row r="94" spans="34:34">
      <c r="AH94" s="18"/>
    </row>
    <row r="95" spans="34:34">
      <c r="AH95" s="18"/>
    </row>
    <row r="96" spans="34:34">
      <c r="AH96" s="18"/>
    </row>
    <row r="97" spans="34:34">
      <c r="AH97" s="18"/>
    </row>
    <row r="98" spans="34:34">
      <c r="AH98" s="18"/>
    </row>
    <row r="99" spans="34:34">
      <c r="AH99" s="18"/>
    </row>
    <row r="100" spans="34:34">
      <c r="AH100" s="18"/>
    </row>
    <row r="101" spans="34:34">
      <c r="AH101" s="18"/>
    </row>
    <row r="102" spans="34:34">
      <c r="AH102" s="18"/>
    </row>
    <row r="103" spans="34:34">
      <c r="AH103" s="18"/>
    </row>
    <row r="104" spans="34:34">
      <c r="AH104" s="18"/>
    </row>
  </sheetData>
  <autoFilter ref="A2:AI60" xr:uid="{00000000-0001-0000-0000-000000000000}">
    <filterColumn colId="4">
      <filters>
        <filter val="Ceb"/>
        <filter val="Cz"/>
        <filter val="Tr"/>
      </filters>
    </filterColumn>
  </autoFilter>
  <mergeCells count="20">
    <mergeCell ref="DH1:DJ1"/>
    <mergeCell ref="DK1:DM1"/>
    <mergeCell ref="DN1:DQ1"/>
    <mergeCell ref="CC1:CH1"/>
    <mergeCell ref="CJ1:CL1"/>
    <mergeCell ref="CM1:CQ1"/>
    <mergeCell ref="CR1:DD1"/>
    <mergeCell ref="DE1:DG1"/>
    <mergeCell ref="BA1:BF1"/>
    <mergeCell ref="BJ1:BK1"/>
    <mergeCell ref="BL1:BP1"/>
    <mergeCell ref="BQ1:BV1"/>
    <mergeCell ref="BW1:CB1"/>
    <mergeCell ref="BG1:BI1"/>
    <mergeCell ref="F1:N1"/>
    <mergeCell ref="O1:Y1"/>
    <mergeCell ref="Z1:AI1"/>
    <mergeCell ref="AN1:AS1"/>
    <mergeCell ref="AT1:AZ1"/>
    <mergeCell ref="AJ1:A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5D919-FE15-4609-BAFC-CE592C260F0A}">
  <sheetPr filterMode="1"/>
  <dimension ref="A1:E53"/>
  <sheetViews>
    <sheetView topLeftCell="A10" workbookViewId="0">
      <selection activeCell="C40" sqref="C40:C41"/>
    </sheetView>
  </sheetViews>
  <sheetFormatPr defaultColWidth="8.7109375" defaultRowHeight="14.45"/>
  <cols>
    <col min="1" max="1" width="19.28515625" bestFit="1" customWidth="1"/>
    <col min="2" max="2" width="18.140625" bestFit="1" customWidth="1"/>
    <col min="3" max="3" width="10.85546875" bestFit="1" customWidth="1"/>
    <col min="4" max="4" width="23.140625" bestFit="1" customWidth="1"/>
    <col min="5" max="5" width="17.28515625" bestFit="1" customWidth="1"/>
  </cols>
  <sheetData>
    <row r="1" spans="1:5" ht="21">
      <c r="A1" s="1"/>
      <c r="B1" s="2"/>
      <c r="C1" s="3"/>
      <c r="D1" s="4"/>
      <c r="E1" s="17"/>
    </row>
    <row r="2" spans="1:5" ht="20.100000000000001">
      <c r="A2" s="5" t="s">
        <v>20</v>
      </c>
      <c r="B2" s="5" t="s">
        <v>21</v>
      </c>
      <c r="C2" s="5" t="s">
        <v>22</v>
      </c>
      <c r="D2" s="5" t="s">
        <v>185</v>
      </c>
      <c r="E2" s="5" t="s">
        <v>186</v>
      </c>
    </row>
    <row r="3" spans="1:5" ht="21" hidden="1">
      <c r="A3" s="6" t="s">
        <v>87</v>
      </c>
      <c r="B3" s="6">
        <v>1</v>
      </c>
      <c r="C3" s="6">
        <v>203.49</v>
      </c>
      <c r="D3" s="42" t="s">
        <v>89</v>
      </c>
      <c r="E3" s="6" t="s">
        <v>99</v>
      </c>
    </row>
    <row r="4" spans="1:5" ht="21">
      <c r="A4" s="6" t="s">
        <v>87</v>
      </c>
      <c r="B4" s="6">
        <v>2</v>
      </c>
      <c r="C4" s="6">
        <v>215</v>
      </c>
      <c r="D4" s="42" t="s">
        <v>100</v>
      </c>
      <c r="E4" s="6" t="s">
        <v>88</v>
      </c>
    </row>
    <row r="5" spans="1:5" ht="21">
      <c r="A5" s="6" t="s">
        <v>87</v>
      </c>
      <c r="B5" s="6">
        <v>3</v>
      </c>
      <c r="C5" s="6">
        <v>46.12</v>
      </c>
      <c r="D5" s="42" t="s">
        <v>100</v>
      </c>
      <c r="E5" s="6" t="s">
        <v>88</v>
      </c>
    </row>
    <row r="6" spans="1:5" ht="21">
      <c r="A6" s="6" t="s">
        <v>87</v>
      </c>
      <c r="B6" s="6">
        <v>7</v>
      </c>
      <c r="C6" s="6">
        <v>24.03</v>
      </c>
      <c r="D6" s="42" t="s">
        <v>100</v>
      </c>
      <c r="E6" s="6" t="s">
        <v>88</v>
      </c>
    </row>
    <row r="7" spans="1:5" ht="21">
      <c r="A7" s="6" t="s">
        <v>87</v>
      </c>
      <c r="B7" s="6">
        <v>8</v>
      </c>
      <c r="C7" s="6">
        <v>22.55</v>
      </c>
      <c r="D7" s="42" t="s">
        <v>100</v>
      </c>
      <c r="E7" s="6" t="s">
        <v>88</v>
      </c>
    </row>
    <row r="8" spans="1:5" ht="21">
      <c r="A8" s="6" t="s">
        <v>87</v>
      </c>
      <c r="B8" s="6">
        <v>9</v>
      </c>
      <c r="C8" s="6">
        <v>62.73</v>
      </c>
      <c r="D8" s="42" t="s">
        <v>100</v>
      </c>
      <c r="E8" s="6" t="s">
        <v>88</v>
      </c>
    </row>
    <row r="9" spans="1:5" ht="21">
      <c r="A9" s="6" t="s">
        <v>87</v>
      </c>
      <c r="B9" s="6">
        <v>10</v>
      </c>
      <c r="C9" s="6">
        <v>29.7</v>
      </c>
      <c r="D9" s="42" t="s">
        <v>100</v>
      </c>
      <c r="E9" s="6" t="s">
        <v>88</v>
      </c>
    </row>
    <row r="10" spans="1:5" ht="21">
      <c r="A10" s="6" t="s">
        <v>87</v>
      </c>
      <c r="B10" s="6">
        <v>11</v>
      </c>
      <c r="C10" s="6">
        <v>270.44</v>
      </c>
      <c r="D10" s="42" t="s">
        <v>100</v>
      </c>
      <c r="E10" s="6" t="s">
        <v>88</v>
      </c>
    </row>
    <row r="11" spans="1:5" ht="21">
      <c r="A11" s="6" t="s">
        <v>87</v>
      </c>
      <c r="B11" s="6">
        <v>12</v>
      </c>
      <c r="C11" s="6">
        <v>64.25</v>
      </c>
      <c r="D11" s="42" t="s">
        <v>100</v>
      </c>
      <c r="E11" s="6" t="s">
        <v>88</v>
      </c>
    </row>
    <row r="12" spans="1:5" ht="21">
      <c r="A12" s="6" t="s">
        <v>87</v>
      </c>
      <c r="B12" s="6">
        <v>13</v>
      </c>
      <c r="C12" s="6">
        <v>29.89</v>
      </c>
      <c r="D12" s="42" t="s">
        <v>100</v>
      </c>
      <c r="E12" s="6" t="s">
        <v>88</v>
      </c>
    </row>
    <row r="13" spans="1:5" ht="21">
      <c r="A13" s="6" t="s">
        <v>105</v>
      </c>
      <c r="B13" s="6">
        <v>6</v>
      </c>
      <c r="C13" s="6">
        <v>52.63</v>
      </c>
      <c r="D13" s="42" t="s">
        <v>100</v>
      </c>
      <c r="E13" s="6" t="s">
        <v>88</v>
      </c>
    </row>
    <row r="14" spans="1:5" ht="21" hidden="1">
      <c r="A14" s="6" t="s">
        <v>105</v>
      </c>
      <c r="B14" s="6">
        <v>7</v>
      </c>
      <c r="C14" s="6">
        <v>60.61</v>
      </c>
      <c r="D14" s="42" t="s">
        <v>106</v>
      </c>
      <c r="E14" s="6" t="s">
        <v>99</v>
      </c>
    </row>
    <row r="15" spans="1:5" ht="21" hidden="1">
      <c r="A15" s="6" t="s">
        <v>105</v>
      </c>
      <c r="B15" s="6">
        <v>11</v>
      </c>
      <c r="C15" s="6">
        <v>56.69</v>
      </c>
      <c r="D15" s="42" t="s">
        <v>106</v>
      </c>
      <c r="E15" s="6" t="s">
        <v>99</v>
      </c>
    </row>
    <row r="16" spans="1:5" ht="21" hidden="1">
      <c r="A16" s="6" t="s">
        <v>105</v>
      </c>
      <c r="B16" s="6">
        <v>12</v>
      </c>
      <c r="C16" s="6">
        <v>49.78</v>
      </c>
      <c r="D16" s="42" t="s">
        <v>106</v>
      </c>
      <c r="E16" s="6" t="s">
        <v>99</v>
      </c>
    </row>
    <row r="17" spans="1:5" ht="21" hidden="1">
      <c r="A17" s="6" t="s">
        <v>105</v>
      </c>
      <c r="B17" s="6">
        <v>13</v>
      </c>
      <c r="C17" s="6">
        <v>26.67</v>
      </c>
      <c r="D17" s="42" t="s">
        <v>106</v>
      </c>
      <c r="E17" s="6" t="s">
        <v>99</v>
      </c>
    </row>
    <row r="18" spans="1:5" ht="21" hidden="1">
      <c r="A18" s="6" t="s">
        <v>105</v>
      </c>
      <c r="B18" s="6">
        <v>14</v>
      </c>
      <c r="C18" s="6">
        <v>33.96</v>
      </c>
      <c r="D18" s="42" t="s">
        <v>106</v>
      </c>
      <c r="E18" s="6" t="s">
        <v>99</v>
      </c>
    </row>
    <row r="19" spans="1:5" ht="21" hidden="1">
      <c r="A19" s="6" t="s">
        <v>105</v>
      </c>
      <c r="B19" s="6">
        <v>16</v>
      </c>
      <c r="C19" s="6">
        <v>91.46</v>
      </c>
      <c r="D19" s="42" t="s">
        <v>106</v>
      </c>
      <c r="E19" s="6" t="s">
        <v>99</v>
      </c>
    </row>
    <row r="20" spans="1:5" ht="21" hidden="1">
      <c r="A20" s="6" t="s">
        <v>117</v>
      </c>
      <c r="B20" s="6">
        <v>1</v>
      </c>
      <c r="C20" s="6">
        <v>58.59</v>
      </c>
      <c r="D20" s="42" t="s">
        <v>89</v>
      </c>
      <c r="E20" s="6" t="s">
        <v>99</v>
      </c>
    </row>
    <row r="21" spans="1:5" ht="21" hidden="1">
      <c r="A21" s="6" t="s">
        <v>117</v>
      </c>
      <c r="B21" s="6">
        <v>2</v>
      </c>
      <c r="C21" s="6">
        <v>40.99</v>
      </c>
      <c r="D21" s="42" t="s">
        <v>89</v>
      </c>
      <c r="E21" s="6" t="s">
        <v>99</v>
      </c>
    </row>
    <row r="22" spans="1:5" ht="21" hidden="1">
      <c r="A22" s="6" t="s">
        <v>117</v>
      </c>
      <c r="B22" s="6">
        <v>3</v>
      </c>
      <c r="C22" s="6">
        <v>63.11</v>
      </c>
      <c r="D22" s="42" t="s">
        <v>89</v>
      </c>
      <c r="E22" s="6" t="s">
        <v>99</v>
      </c>
    </row>
    <row r="23" spans="1:5" ht="21" hidden="1">
      <c r="A23" s="6" t="s">
        <v>117</v>
      </c>
      <c r="B23" s="6">
        <v>4</v>
      </c>
      <c r="C23" s="6">
        <v>71.48</v>
      </c>
      <c r="D23" s="42" t="s">
        <v>89</v>
      </c>
      <c r="E23" s="6" t="s">
        <v>99</v>
      </c>
    </row>
    <row r="24" spans="1:5" ht="21">
      <c r="A24" s="6" t="s">
        <v>117</v>
      </c>
      <c r="B24" s="6">
        <v>5</v>
      </c>
      <c r="C24" s="6">
        <v>67.739999999999995</v>
      </c>
      <c r="D24" s="42" t="s">
        <v>100</v>
      </c>
      <c r="E24" s="6" t="s">
        <v>88</v>
      </c>
    </row>
    <row r="25" spans="1:5" ht="21">
      <c r="A25" s="6" t="s">
        <v>117</v>
      </c>
      <c r="B25" s="6">
        <v>6</v>
      </c>
      <c r="C25" s="6">
        <v>24.52</v>
      </c>
      <c r="D25" s="42" t="s">
        <v>100</v>
      </c>
      <c r="E25" s="6" t="s">
        <v>88</v>
      </c>
    </row>
    <row r="26" spans="1:5" ht="21" hidden="1">
      <c r="A26" s="6" t="s">
        <v>117</v>
      </c>
      <c r="B26" s="6">
        <v>11</v>
      </c>
      <c r="C26" s="6">
        <v>31</v>
      </c>
      <c r="D26" s="42" t="s">
        <v>89</v>
      </c>
      <c r="E26" s="6" t="s">
        <v>99</v>
      </c>
    </row>
    <row r="27" spans="1:5" ht="21">
      <c r="A27" s="6" t="s">
        <v>117</v>
      </c>
      <c r="B27" s="6">
        <v>12</v>
      </c>
      <c r="C27" s="6">
        <v>67</v>
      </c>
      <c r="D27" s="42" t="s">
        <v>100</v>
      </c>
      <c r="E27" s="6" t="s">
        <v>88</v>
      </c>
    </row>
    <row r="28" spans="1:5" ht="21" hidden="1">
      <c r="A28" s="6" t="s">
        <v>124</v>
      </c>
      <c r="B28" s="6">
        <v>1</v>
      </c>
      <c r="C28" s="6">
        <v>138.88</v>
      </c>
      <c r="D28" s="42" t="s">
        <v>89</v>
      </c>
      <c r="E28" s="6" t="s">
        <v>99</v>
      </c>
    </row>
    <row r="29" spans="1:5" ht="21">
      <c r="A29" s="6" t="s">
        <v>124</v>
      </c>
      <c r="B29" s="6">
        <v>2</v>
      </c>
      <c r="C29" s="6">
        <v>141.69999999999999</v>
      </c>
      <c r="D29" s="42" t="s">
        <v>100</v>
      </c>
      <c r="E29" s="6" t="s">
        <v>125</v>
      </c>
    </row>
    <row r="30" spans="1:5" ht="21">
      <c r="A30" s="6" t="s">
        <v>127</v>
      </c>
      <c r="B30" s="6">
        <v>1</v>
      </c>
      <c r="C30" s="6">
        <v>101.74</v>
      </c>
      <c r="D30" s="42" t="s">
        <v>100</v>
      </c>
      <c r="E30" s="6" t="s">
        <v>88</v>
      </c>
    </row>
    <row r="31" spans="1:5" ht="21" hidden="1">
      <c r="A31" s="6" t="s">
        <v>127</v>
      </c>
      <c r="B31" s="6">
        <v>2</v>
      </c>
      <c r="C31" s="6">
        <v>34.99</v>
      </c>
      <c r="D31" s="42" t="s">
        <v>89</v>
      </c>
      <c r="E31" s="6" t="s">
        <v>99</v>
      </c>
    </row>
    <row r="32" spans="1:5" ht="21" hidden="1">
      <c r="A32" s="6" t="s">
        <v>127</v>
      </c>
      <c r="B32" s="6">
        <v>3</v>
      </c>
      <c r="C32" s="6">
        <v>301.24</v>
      </c>
      <c r="D32" s="42" t="s">
        <v>89</v>
      </c>
      <c r="E32" s="6" t="s">
        <v>99</v>
      </c>
    </row>
    <row r="33" spans="1:5" ht="21" hidden="1">
      <c r="A33" s="6" t="s">
        <v>127</v>
      </c>
      <c r="B33" s="6">
        <v>4</v>
      </c>
      <c r="C33" s="6">
        <v>180.2</v>
      </c>
      <c r="D33" s="42" t="s">
        <v>89</v>
      </c>
      <c r="E33" s="6" t="s">
        <v>99</v>
      </c>
    </row>
    <row r="34" spans="1:5" ht="21">
      <c r="A34" s="6" t="s">
        <v>127</v>
      </c>
      <c r="B34" s="6">
        <v>5</v>
      </c>
      <c r="C34" s="6">
        <v>59.08</v>
      </c>
      <c r="D34" s="42" t="s">
        <v>100</v>
      </c>
      <c r="E34" s="6" t="s">
        <v>88</v>
      </c>
    </row>
    <row r="35" spans="1:5" ht="21">
      <c r="A35" s="6" t="s">
        <v>127</v>
      </c>
      <c r="B35" s="6">
        <v>7</v>
      </c>
      <c r="C35" s="6">
        <v>46.79</v>
      </c>
      <c r="D35" s="42" t="s">
        <v>100</v>
      </c>
      <c r="E35" s="6" t="s">
        <v>88</v>
      </c>
    </row>
    <row r="36" spans="1:5" ht="21">
      <c r="A36" s="6" t="s">
        <v>127</v>
      </c>
      <c r="B36" s="6">
        <v>8</v>
      </c>
      <c r="C36" s="6">
        <v>59.05</v>
      </c>
      <c r="D36" s="42" t="s">
        <v>100</v>
      </c>
      <c r="E36" s="6" t="s">
        <v>88</v>
      </c>
    </row>
    <row r="37" spans="1:5" ht="21">
      <c r="A37" s="6" t="s">
        <v>127</v>
      </c>
      <c r="B37" s="6">
        <v>9</v>
      </c>
      <c r="C37" s="6">
        <v>103.45</v>
      </c>
      <c r="D37" s="42" t="s">
        <v>100</v>
      </c>
      <c r="E37" s="6" t="s">
        <v>125</v>
      </c>
    </row>
    <row r="38" spans="1:5" ht="21" hidden="1">
      <c r="A38" s="6" t="s">
        <v>127</v>
      </c>
      <c r="B38" s="6">
        <v>10</v>
      </c>
      <c r="C38" s="6">
        <v>101.88</v>
      </c>
      <c r="D38" s="42" t="s">
        <v>89</v>
      </c>
      <c r="E38" s="6" t="s">
        <v>99</v>
      </c>
    </row>
    <row r="39" spans="1:5" ht="21">
      <c r="A39" s="6" t="s">
        <v>127</v>
      </c>
      <c r="B39" s="6">
        <v>11</v>
      </c>
      <c r="C39" s="6">
        <v>53.38</v>
      </c>
      <c r="D39" s="42" t="s">
        <v>100</v>
      </c>
      <c r="E39" s="6" t="s">
        <v>88</v>
      </c>
    </row>
    <row r="40" spans="1:5" ht="21">
      <c r="A40" s="6" t="s">
        <v>127</v>
      </c>
      <c r="B40" s="6">
        <v>12</v>
      </c>
      <c r="C40" s="6">
        <v>102.7</v>
      </c>
      <c r="D40" s="42" t="s">
        <v>100</v>
      </c>
      <c r="E40" s="6" t="s">
        <v>125</v>
      </c>
    </row>
    <row r="41" spans="1:5" ht="21">
      <c r="A41" s="6" t="s">
        <v>127</v>
      </c>
      <c r="B41" s="6">
        <v>13</v>
      </c>
      <c r="C41" s="6">
        <v>87.11</v>
      </c>
      <c r="D41" s="42" t="s">
        <v>100</v>
      </c>
      <c r="E41" s="6" t="s">
        <v>125</v>
      </c>
    </row>
    <row r="42" spans="1:5" ht="21">
      <c r="A42" s="6" t="s">
        <v>127</v>
      </c>
      <c r="B42" s="6">
        <v>14</v>
      </c>
      <c r="C42" s="6">
        <v>59.42</v>
      </c>
      <c r="D42" s="42" t="s">
        <v>100</v>
      </c>
      <c r="E42" s="6" t="s">
        <v>88</v>
      </c>
    </row>
    <row r="43" spans="1:5" ht="21">
      <c r="A43" s="6" t="s">
        <v>127</v>
      </c>
      <c r="B43" s="6">
        <v>15</v>
      </c>
      <c r="C43" s="6">
        <v>35.96</v>
      </c>
      <c r="D43" s="42" t="s">
        <v>100</v>
      </c>
      <c r="E43" s="6" t="s">
        <v>88</v>
      </c>
    </row>
    <row r="44" spans="1:5" ht="21" hidden="1">
      <c r="A44" s="6" t="s">
        <v>145</v>
      </c>
      <c r="B44" s="6" t="s">
        <v>146</v>
      </c>
      <c r="C44" s="6">
        <v>386.2</v>
      </c>
      <c r="D44" s="42" t="s">
        <v>147</v>
      </c>
      <c r="E44" s="6" t="s">
        <v>128</v>
      </c>
    </row>
    <row r="45" spans="1:5" ht="21">
      <c r="A45" s="6" t="s">
        <v>145</v>
      </c>
      <c r="B45" s="6" t="s">
        <v>150</v>
      </c>
      <c r="C45" s="6">
        <v>120</v>
      </c>
      <c r="D45" s="42" t="s">
        <v>100</v>
      </c>
      <c r="E45" s="6" t="s">
        <v>88</v>
      </c>
    </row>
    <row r="46" spans="1:5" ht="21" hidden="1">
      <c r="A46" s="6" t="s">
        <v>145</v>
      </c>
      <c r="B46" s="6" t="s">
        <v>151</v>
      </c>
      <c r="C46" s="9">
        <v>163</v>
      </c>
      <c r="D46" s="42" t="s">
        <v>147</v>
      </c>
      <c r="E46" s="6" t="s">
        <v>99</v>
      </c>
    </row>
    <row r="47" spans="1:5" ht="21" hidden="1">
      <c r="A47" s="6" t="s">
        <v>145</v>
      </c>
      <c r="B47" s="6" t="s">
        <v>155</v>
      </c>
      <c r="C47" s="6">
        <v>189.75</v>
      </c>
      <c r="D47" s="42" t="s">
        <v>147</v>
      </c>
      <c r="E47" s="6" t="s">
        <v>99</v>
      </c>
    </row>
    <row r="48" spans="1:5" ht="21" hidden="1">
      <c r="A48" s="6" t="s">
        <v>145</v>
      </c>
      <c r="B48" s="6" t="s">
        <v>157</v>
      </c>
      <c r="C48" s="6">
        <v>169.61</v>
      </c>
      <c r="D48" s="42" t="s">
        <v>147</v>
      </c>
      <c r="E48" s="6" t="s">
        <v>99</v>
      </c>
    </row>
    <row r="49" spans="1:5" ht="21" hidden="1">
      <c r="A49" s="6" t="s">
        <v>145</v>
      </c>
      <c r="B49" s="6" t="s">
        <v>159</v>
      </c>
      <c r="C49" s="6">
        <v>118.35</v>
      </c>
      <c r="D49" s="42" t="s">
        <v>147</v>
      </c>
      <c r="E49" s="6" t="s">
        <v>128</v>
      </c>
    </row>
    <row r="50" spans="1:5" ht="21" hidden="1">
      <c r="A50" s="6" t="s">
        <v>145</v>
      </c>
      <c r="B50" s="6" t="s">
        <v>162</v>
      </c>
      <c r="C50" s="6">
        <v>243.29</v>
      </c>
      <c r="D50" s="42" t="s">
        <v>147</v>
      </c>
      <c r="E50" s="6" t="s">
        <v>99</v>
      </c>
    </row>
    <row r="51" spans="1:5" ht="21">
      <c r="A51" s="6" t="s">
        <v>145</v>
      </c>
      <c r="B51" s="6" t="s">
        <v>164</v>
      </c>
      <c r="C51" s="6">
        <v>201.78</v>
      </c>
      <c r="D51" s="42" t="s">
        <v>100</v>
      </c>
      <c r="E51" s="6" t="s">
        <v>125</v>
      </c>
    </row>
    <row r="52" spans="1:5" ht="21">
      <c r="A52" s="6" t="s">
        <v>145</v>
      </c>
      <c r="B52" s="6" t="s">
        <v>165</v>
      </c>
      <c r="C52" s="6">
        <v>150.52000000000001</v>
      </c>
      <c r="D52" s="42" t="s">
        <v>100</v>
      </c>
      <c r="E52" s="6" t="s">
        <v>125</v>
      </c>
    </row>
    <row r="53" spans="1:5" ht="21">
      <c r="A53" s="6" t="s">
        <v>145</v>
      </c>
      <c r="B53" s="6" t="s">
        <v>166</v>
      </c>
      <c r="C53" s="6">
        <v>225.15</v>
      </c>
      <c r="D53" s="42" t="s">
        <v>100</v>
      </c>
      <c r="E53" s="6" t="s">
        <v>125</v>
      </c>
    </row>
  </sheetData>
  <autoFilter ref="A2:E53" xr:uid="{BB45D919-FE15-4609-BAFC-CE592C260F0A}">
    <filterColumn colId="3">
      <filters>
        <filter val="Cobertura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6069D-6E41-4381-B3ED-F63518FBA9EA}">
  <dimension ref="A1:BF199"/>
  <sheetViews>
    <sheetView topLeftCell="A2" workbookViewId="0">
      <selection activeCell="BA8" sqref="BA8"/>
    </sheetView>
  </sheetViews>
  <sheetFormatPr defaultColWidth="8.7109375" defaultRowHeight="14.45"/>
  <cols>
    <col min="1" max="1" width="14.28515625" customWidth="1"/>
    <col min="2" max="38" width="9.140625" hidden="1" customWidth="1"/>
    <col min="52" max="52" width="15.5703125" style="17" bestFit="1" customWidth="1"/>
    <col min="53" max="53" width="11.7109375" bestFit="1" customWidth="1"/>
    <col min="55" max="56" width="10.5703125" bestFit="1" customWidth="1"/>
    <col min="58" max="58" width="12.42578125" bestFit="1" customWidth="1"/>
  </cols>
  <sheetData>
    <row r="1" spans="1:58">
      <c r="A1" s="49"/>
      <c r="B1" s="49">
        <v>2022</v>
      </c>
      <c r="C1" s="103">
        <v>2023</v>
      </c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3">
        <v>2024</v>
      </c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5"/>
      <c r="AA1" s="104">
        <v>2025</v>
      </c>
      <c r="AB1" s="104"/>
      <c r="AC1" s="104"/>
      <c r="AD1" s="104"/>
      <c r="AE1" s="104"/>
      <c r="AF1" s="104"/>
      <c r="AG1" s="104"/>
      <c r="AH1" s="104"/>
      <c r="AI1" s="104"/>
      <c r="AJ1" s="104"/>
      <c r="AK1" s="104"/>
      <c r="AL1" s="104"/>
      <c r="AM1" s="104">
        <v>2026</v>
      </c>
      <c r="AN1" s="104"/>
      <c r="AO1" s="104"/>
      <c r="AP1" s="104"/>
      <c r="AQ1" s="104"/>
      <c r="AR1" s="104"/>
      <c r="AS1" s="104"/>
      <c r="AT1" s="104"/>
      <c r="AU1" s="104"/>
      <c r="AV1" s="104"/>
      <c r="AW1" s="104"/>
      <c r="AX1" s="104"/>
      <c r="AY1" s="44"/>
      <c r="AZ1" s="51" t="s">
        <v>187</v>
      </c>
      <c r="BA1" s="45"/>
      <c r="BB1" s="44"/>
      <c r="BC1" s="44"/>
      <c r="BD1" s="44"/>
      <c r="BE1" s="44"/>
      <c r="BF1" s="44"/>
    </row>
    <row r="2" spans="1:58">
      <c r="A2" s="49" t="s">
        <v>20</v>
      </c>
      <c r="B2" s="49" t="s">
        <v>188</v>
      </c>
      <c r="C2" s="48" t="s">
        <v>189</v>
      </c>
      <c r="D2" s="49" t="s">
        <v>190</v>
      </c>
      <c r="E2" s="49" t="s">
        <v>191</v>
      </c>
      <c r="F2" s="49" t="s">
        <v>192</v>
      </c>
      <c r="G2" s="49" t="s">
        <v>193</v>
      </c>
      <c r="H2" s="49" t="s">
        <v>194</v>
      </c>
      <c r="I2" s="49" t="s">
        <v>195</v>
      </c>
      <c r="J2" s="49" t="s">
        <v>196</v>
      </c>
      <c r="K2" s="49" t="s">
        <v>197</v>
      </c>
      <c r="L2" s="49" t="s">
        <v>198</v>
      </c>
      <c r="M2" s="49" t="s">
        <v>199</v>
      </c>
      <c r="N2" s="49" t="s">
        <v>188</v>
      </c>
      <c r="O2" s="48" t="s">
        <v>189</v>
      </c>
      <c r="P2" s="49" t="s">
        <v>190</v>
      </c>
      <c r="Q2" s="49" t="s">
        <v>191</v>
      </c>
      <c r="R2" s="49" t="s">
        <v>192</v>
      </c>
      <c r="S2" s="49" t="s">
        <v>193</v>
      </c>
      <c r="T2" s="49" t="s">
        <v>194</v>
      </c>
      <c r="U2" s="49" t="s">
        <v>195</v>
      </c>
      <c r="V2" s="49" t="s">
        <v>196</v>
      </c>
      <c r="W2" s="49" t="s">
        <v>197</v>
      </c>
      <c r="X2" s="49" t="s">
        <v>198</v>
      </c>
      <c r="Y2" s="49" t="s">
        <v>199</v>
      </c>
      <c r="Z2" s="50" t="s">
        <v>188</v>
      </c>
      <c r="AA2" s="49" t="s">
        <v>189</v>
      </c>
      <c r="AB2" s="49" t="s">
        <v>190</v>
      </c>
      <c r="AC2" s="49" t="s">
        <v>191</v>
      </c>
      <c r="AD2" s="49" t="s">
        <v>192</v>
      </c>
      <c r="AE2" s="49" t="s">
        <v>193</v>
      </c>
      <c r="AF2" s="49" t="s">
        <v>194</v>
      </c>
      <c r="AG2" s="49" t="s">
        <v>195</v>
      </c>
      <c r="AH2" s="49" t="s">
        <v>196</v>
      </c>
      <c r="AI2" s="49" t="s">
        <v>197</v>
      </c>
      <c r="AJ2" s="49" t="s">
        <v>198</v>
      </c>
      <c r="AK2" s="49" t="s">
        <v>199</v>
      </c>
      <c r="AL2" s="49" t="s">
        <v>188</v>
      </c>
      <c r="AM2" s="49" t="s">
        <v>189</v>
      </c>
      <c r="AN2" s="49" t="s">
        <v>190</v>
      </c>
      <c r="AO2" s="49" t="s">
        <v>191</v>
      </c>
      <c r="AP2" s="49" t="s">
        <v>192</v>
      </c>
      <c r="AQ2" s="49" t="s">
        <v>193</v>
      </c>
      <c r="AR2" s="49" t="s">
        <v>194</v>
      </c>
      <c r="AS2" s="49" t="s">
        <v>195</v>
      </c>
      <c r="AT2" s="49" t="s">
        <v>196</v>
      </c>
      <c r="AU2" s="49" t="s">
        <v>197</v>
      </c>
      <c r="AV2" s="49" t="s">
        <v>198</v>
      </c>
      <c r="AW2" s="49" t="s">
        <v>199</v>
      </c>
      <c r="AX2" s="49" t="s">
        <v>188</v>
      </c>
      <c r="AY2" s="44"/>
      <c r="AZ2" s="52" t="s">
        <v>25</v>
      </c>
      <c r="BA2" s="52" t="s">
        <v>145</v>
      </c>
      <c r="BB2" s="52" t="s">
        <v>87</v>
      </c>
      <c r="BC2" s="52" t="s">
        <v>117</v>
      </c>
      <c r="BD2" s="52" t="s">
        <v>105</v>
      </c>
      <c r="BE2" s="52" t="s">
        <v>124</v>
      </c>
      <c r="BF2" s="52" t="s">
        <v>127</v>
      </c>
    </row>
    <row r="3" spans="1:58">
      <c r="A3" s="49" t="s">
        <v>200</v>
      </c>
      <c r="B3" s="49">
        <v>45</v>
      </c>
      <c r="C3" s="48">
        <v>35</v>
      </c>
      <c r="D3" s="49">
        <v>50</v>
      </c>
      <c r="E3" s="49">
        <v>50</v>
      </c>
      <c r="F3" s="49">
        <v>30</v>
      </c>
      <c r="G3" s="49">
        <v>131</v>
      </c>
      <c r="H3" s="49">
        <v>35</v>
      </c>
      <c r="I3" s="49">
        <v>113</v>
      </c>
      <c r="J3" s="49">
        <v>45</v>
      </c>
      <c r="K3" s="49">
        <v>90</v>
      </c>
      <c r="L3" s="49">
        <v>105</v>
      </c>
      <c r="M3" s="49">
        <v>100</v>
      </c>
      <c r="N3" s="49">
        <v>310</v>
      </c>
      <c r="O3" s="48">
        <v>110</v>
      </c>
      <c r="P3" s="49">
        <v>163</v>
      </c>
      <c r="Q3" s="49">
        <v>380</v>
      </c>
      <c r="R3" s="49">
        <v>288</v>
      </c>
      <c r="S3" s="49">
        <v>165</v>
      </c>
      <c r="T3" s="49">
        <v>15</v>
      </c>
      <c r="U3" s="49">
        <v>15</v>
      </c>
      <c r="V3" s="49">
        <v>80</v>
      </c>
      <c r="W3" s="49">
        <v>36</v>
      </c>
      <c r="X3" s="49">
        <v>95</v>
      </c>
      <c r="Y3" s="49">
        <v>137</v>
      </c>
      <c r="Z3" s="50">
        <v>98</v>
      </c>
      <c r="AA3" s="49">
        <v>80</v>
      </c>
      <c r="AB3" s="49">
        <v>175</v>
      </c>
      <c r="AC3" s="49">
        <v>110</v>
      </c>
      <c r="AD3" s="49">
        <v>61</v>
      </c>
      <c r="AE3" s="49">
        <v>149</v>
      </c>
      <c r="AF3" s="49">
        <v>97</v>
      </c>
      <c r="AG3" s="49">
        <v>80</v>
      </c>
      <c r="AH3" s="49">
        <v>75</v>
      </c>
      <c r="AI3" s="49">
        <v>98</v>
      </c>
      <c r="AJ3" s="49">
        <v>48</v>
      </c>
      <c r="AK3" s="49">
        <v>101</v>
      </c>
      <c r="AL3" s="49">
        <v>22</v>
      </c>
      <c r="AM3" s="49">
        <v>25</v>
      </c>
      <c r="AN3" s="49">
        <v>70</v>
      </c>
      <c r="AO3" s="49">
        <v>66</v>
      </c>
      <c r="AP3" s="49">
        <v>165</v>
      </c>
      <c r="AQ3" s="49">
        <v>92</v>
      </c>
      <c r="AR3" s="49">
        <v>45</v>
      </c>
      <c r="AS3" s="64"/>
      <c r="AT3" s="49">
        <v>0</v>
      </c>
      <c r="AU3" s="49">
        <v>0</v>
      </c>
      <c r="AV3" s="49">
        <v>0</v>
      </c>
      <c r="AW3" s="49">
        <v>0</v>
      </c>
      <c r="AX3" s="49">
        <v>0</v>
      </c>
      <c r="AY3" s="44"/>
      <c r="AZ3" s="53">
        <v>46204</v>
      </c>
      <c r="BA3" s="58" t="s">
        <v>201</v>
      </c>
      <c r="BB3" s="59" t="s">
        <v>201</v>
      </c>
      <c r="BC3" s="59" t="s">
        <v>201</v>
      </c>
      <c r="BD3" s="59" t="s">
        <v>201</v>
      </c>
      <c r="BE3" s="59" t="s">
        <v>201</v>
      </c>
      <c r="BF3" s="59" t="s">
        <v>201</v>
      </c>
    </row>
    <row r="4" spans="1:58">
      <c r="A4" s="55" t="s">
        <v>87</v>
      </c>
      <c r="B4" s="55">
        <v>47</v>
      </c>
      <c r="C4" s="56">
        <v>30</v>
      </c>
      <c r="D4" s="55">
        <v>25</v>
      </c>
      <c r="E4" s="55">
        <v>95</v>
      </c>
      <c r="F4" s="55">
        <v>66</v>
      </c>
      <c r="G4" s="55">
        <v>118</v>
      </c>
      <c r="H4" s="55">
        <v>15</v>
      </c>
      <c r="I4" s="55">
        <v>135</v>
      </c>
      <c r="J4" s="55">
        <v>30</v>
      </c>
      <c r="K4" s="55">
        <v>126</v>
      </c>
      <c r="L4" s="55">
        <v>85</v>
      </c>
      <c r="M4" s="55">
        <v>205</v>
      </c>
      <c r="N4" s="55">
        <v>412</v>
      </c>
      <c r="O4" s="56">
        <v>140</v>
      </c>
      <c r="P4" s="55">
        <v>70</v>
      </c>
      <c r="Q4" s="55">
        <v>337</v>
      </c>
      <c r="R4" s="55">
        <v>347</v>
      </c>
      <c r="S4" s="55">
        <v>313</v>
      </c>
      <c r="T4" s="55">
        <v>20</v>
      </c>
      <c r="U4" s="55">
        <v>10</v>
      </c>
      <c r="V4" s="55">
        <v>95</v>
      </c>
      <c r="W4" s="55">
        <v>109</v>
      </c>
      <c r="X4" s="55">
        <v>211</v>
      </c>
      <c r="Y4" s="55">
        <v>183</v>
      </c>
      <c r="Z4" s="57">
        <v>54</v>
      </c>
      <c r="AA4" s="55">
        <v>72</v>
      </c>
      <c r="AB4" s="55">
        <v>193</v>
      </c>
      <c r="AC4" s="55">
        <v>170</v>
      </c>
      <c r="AD4" s="55">
        <v>86</v>
      </c>
      <c r="AE4" s="55">
        <v>152</v>
      </c>
      <c r="AF4" s="55">
        <v>125</v>
      </c>
      <c r="AG4" s="55">
        <v>115</v>
      </c>
      <c r="AH4" s="55">
        <v>125</v>
      </c>
      <c r="AI4" s="55">
        <v>101</v>
      </c>
      <c r="AJ4" s="55">
        <v>157</v>
      </c>
      <c r="AK4" s="55">
        <v>125</v>
      </c>
      <c r="AL4" s="55">
        <v>202</v>
      </c>
      <c r="AM4" s="55">
        <v>60</v>
      </c>
      <c r="AN4" s="55">
        <v>120</v>
      </c>
      <c r="AO4" s="55">
        <v>124</v>
      </c>
      <c r="AP4" s="55">
        <v>214</v>
      </c>
      <c r="AQ4" s="55">
        <v>69</v>
      </c>
      <c r="AR4" s="55">
        <v>56</v>
      </c>
      <c r="AS4" s="55">
        <v>0</v>
      </c>
      <c r="AT4" s="55">
        <v>0</v>
      </c>
      <c r="AU4" s="55">
        <v>0</v>
      </c>
      <c r="AV4" s="55">
        <v>0</v>
      </c>
      <c r="AW4" s="55">
        <v>0</v>
      </c>
      <c r="AX4" s="55">
        <v>0</v>
      </c>
      <c r="AY4" s="44"/>
      <c r="AZ4" s="54">
        <v>46205</v>
      </c>
      <c r="BA4" s="60" t="s">
        <v>201</v>
      </c>
      <c r="BB4" s="61" t="s">
        <v>201</v>
      </c>
      <c r="BC4" s="61" t="s">
        <v>201</v>
      </c>
      <c r="BD4" s="61" t="s">
        <v>201</v>
      </c>
      <c r="BE4" s="61" t="s">
        <v>201</v>
      </c>
      <c r="BF4" s="61" t="s">
        <v>201</v>
      </c>
    </row>
    <row r="5" spans="1:58">
      <c r="A5" s="49" t="s">
        <v>202</v>
      </c>
      <c r="B5" s="49">
        <v>35</v>
      </c>
      <c r="C5" s="48">
        <v>20</v>
      </c>
      <c r="D5" s="49">
        <v>17</v>
      </c>
      <c r="E5" s="49">
        <v>55</v>
      </c>
      <c r="F5" s="49">
        <v>40</v>
      </c>
      <c r="G5" s="49">
        <v>71</v>
      </c>
      <c r="H5" s="49">
        <v>45</v>
      </c>
      <c r="I5" s="49">
        <v>91</v>
      </c>
      <c r="J5" s="49">
        <v>30</v>
      </c>
      <c r="K5" s="49">
        <v>160</v>
      </c>
      <c r="L5" s="49">
        <v>80</v>
      </c>
      <c r="M5" s="49">
        <v>158</v>
      </c>
      <c r="N5" s="49">
        <v>280</v>
      </c>
      <c r="O5" s="48">
        <v>80</v>
      </c>
      <c r="P5" s="49">
        <v>173</v>
      </c>
      <c r="Q5" s="49">
        <v>275</v>
      </c>
      <c r="R5" s="49">
        <v>381</v>
      </c>
      <c r="S5" s="49">
        <v>239</v>
      </c>
      <c r="T5" s="49">
        <v>95</v>
      </c>
      <c r="U5" s="49">
        <v>12</v>
      </c>
      <c r="V5" s="49">
        <v>78</v>
      </c>
      <c r="W5" s="49">
        <v>103</v>
      </c>
      <c r="X5" s="49">
        <v>109</v>
      </c>
      <c r="Y5" s="49">
        <v>154</v>
      </c>
      <c r="Z5" s="50">
        <v>110</v>
      </c>
      <c r="AA5" s="49">
        <v>65</v>
      </c>
      <c r="AB5" s="49">
        <v>169</v>
      </c>
      <c r="AC5" s="49">
        <v>133</v>
      </c>
      <c r="AD5" s="49">
        <v>73</v>
      </c>
      <c r="AE5" s="49">
        <v>150</v>
      </c>
      <c r="AF5" s="49">
        <v>80</v>
      </c>
      <c r="AG5" s="49">
        <v>110</v>
      </c>
      <c r="AH5" s="49">
        <v>60</v>
      </c>
      <c r="AI5" s="49">
        <v>76</v>
      </c>
      <c r="AJ5" s="49">
        <v>200</v>
      </c>
      <c r="AK5" s="49">
        <v>86</v>
      </c>
      <c r="AL5" s="49">
        <v>62</v>
      </c>
      <c r="AM5" s="49">
        <v>25</v>
      </c>
      <c r="AN5" s="49">
        <v>70</v>
      </c>
      <c r="AO5" s="49">
        <v>101</v>
      </c>
      <c r="AP5" s="49">
        <v>160</v>
      </c>
      <c r="AQ5" s="49">
        <v>268</v>
      </c>
      <c r="AR5" s="49">
        <v>41</v>
      </c>
      <c r="AS5" s="49">
        <v>0</v>
      </c>
      <c r="AT5" s="49">
        <v>0</v>
      </c>
      <c r="AU5" s="49">
        <v>0</v>
      </c>
      <c r="AV5" s="49">
        <v>0</v>
      </c>
      <c r="AW5" s="49">
        <v>0</v>
      </c>
      <c r="AX5" s="49">
        <v>0</v>
      </c>
      <c r="AY5" s="44"/>
      <c r="AZ5" s="53">
        <v>46206</v>
      </c>
      <c r="BA5" s="62" t="s">
        <v>201</v>
      </c>
      <c r="BB5" s="63" t="s">
        <v>201</v>
      </c>
      <c r="BC5" s="63" t="s">
        <v>201</v>
      </c>
      <c r="BD5" s="63" t="s">
        <v>201</v>
      </c>
      <c r="BE5" s="63" t="s">
        <v>201</v>
      </c>
      <c r="BF5" s="63" t="s">
        <v>201</v>
      </c>
    </row>
    <row r="6" spans="1:58">
      <c r="A6" s="49" t="s">
        <v>105</v>
      </c>
      <c r="B6" s="49">
        <v>47</v>
      </c>
      <c r="C6" s="48">
        <v>30</v>
      </c>
      <c r="D6" s="49">
        <v>25</v>
      </c>
      <c r="E6" s="49">
        <v>95</v>
      </c>
      <c r="F6" s="49">
        <v>78</v>
      </c>
      <c r="G6" s="49">
        <v>102</v>
      </c>
      <c r="H6" s="49">
        <v>11</v>
      </c>
      <c r="I6" s="49">
        <v>130</v>
      </c>
      <c r="J6" s="49">
        <v>35</v>
      </c>
      <c r="K6" s="49">
        <v>166</v>
      </c>
      <c r="L6" s="49">
        <v>80</v>
      </c>
      <c r="M6" s="49">
        <v>200</v>
      </c>
      <c r="N6" s="49">
        <v>352</v>
      </c>
      <c r="O6" s="48">
        <v>107</v>
      </c>
      <c r="P6" s="49">
        <v>90</v>
      </c>
      <c r="Q6" s="49">
        <v>250</v>
      </c>
      <c r="R6" s="49">
        <v>330</v>
      </c>
      <c r="S6" s="49">
        <v>310</v>
      </c>
      <c r="T6" s="49">
        <v>20</v>
      </c>
      <c r="U6" s="49">
        <v>10</v>
      </c>
      <c r="V6" s="49">
        <v>100</v>
      </c>
      <c r="W6" s="49">
        <v>118</v>
      </c>
      <c r="X6" s="49">
        <v>202</v>
      </c>
      <c r="Y6" s="49">
        <v>169</v>
      </c>
      <c r="Z6" s="50">
        <v>42</v>
      </c>
      <c r="AA6" s="49">
        <v>20</v>
      </c>
      <c r="AB6" s="49">
        <v>174</v>
      </c>
      <c r="AC6" s="49">
        <v>158</v>
      </c>
      <c r="AD6" s="49">
        <v>100</v>
      </c>
      <c r="AE6" s="49">
        <v>109</v>
      </c>
      <c r="AF6" s="49">
        <v>162</v>
      </c>
      <c r="AG6" s="49">
        <v>105</v>
      </c>
      <c r="AH6" s="49">
        <v>108</v>
      </c>
      <c r="AI6" s="49">
        <v>109</v>
      </c>
      <c r="AJ6" s="49">
        <v>229</v>
      </c>
      <c r="AK6" s="49">
        <v>140</v>
      </c>
      <c r="AL6" s="49">
        <v>201</v>
      </c>
      <c r="AM6" s="49">
        <v>51</v>
      </c>
      <c r="AN6" s="49">
        <v>145</v>
      </c>
      <c r="AO6" s="49">
        <v>123</v>
      </c>
      <c r="AP6" s="49">
        <v>226</v>
      </c>
      <c r="AQ6" s="49">
        <v>62</v>
      </c>
      <c r="AR6" s="49">
        <v>58</v>
      </c>
      <c r="AS6" s="49">
        <v>0</v>
      </c>
      <c r="AT6" s="49">
        <v>0</v>
      </c>
      <c r="AU6" s="49">
        <v>0</v>
      </c>
      <c r="AV6" s="49">
        <v>0</v>
      </c>
      <c r="AW6" s="49">
        <v>0</v>
      </c>
      <c r="AX6" s="49">
        <v>0</v>
      </c>
      <c r="AY6" s="44"/>
      <c r="AZ6" s="54">
        <v>46207</v>
      </c>
      <c r="BA6" s="60" t="s">
        <v>201</v>
      </c>
      <c r="BB6" s="61" t="s">
        <v>201</v>
      </c>
      <c r="BC6" s="61" t="s">
        <v>201</v>
      </c>
      <c r="BD6" s="61" t="s">
        <v>201</v>
      </c>
      <c r="BE6" s="61" t="s">
        <v>201</v>
      </c>
      <c r="BF6" s="61" t="s">
        <v>201</v>
      </c>
    </row>
    <row r="7" spans="1:58">
      <c r="A7" s="49" t="s">
        <v>124</v>
      </c>
      <c r="B7" s="49">
        <v>35</v>
      </c>
      <c r="C7" s="48">
        <v>20</v>
      </c>
      <c r="D7" s="49">
        <v>17</v>
      </c>
      <c r="E7" s="49">
        <v>55</v>
      </c>
      <c r="F7" s="49">
        <v>60</v>
      </c>
      <c r="G7" s="49">
        <v>87</v>
      </c>
      <c r="H7" s="49">
        <v>10</v>
      </c>
      <c r="I7" s="49">
        <v>110</v>
      </c>
      <c r="J7" s="49">
        <v>30</v>
      </c>
      <c r="K7" s="49">
        <v>140</v>
      </c>
      <c r="L7" s="49">
        <v>70</v>
      </c>
      <c r="M7" s="49">
        <v>150</v>
      </c>
      <c r="N7" s="49">
        <v>255</v>
      </c>
      <c r="O7" s="48">
        <v>110</v>
      </c>
      <c r="P7" s="49">
        <v>117</v>
      </c>
      <c r="Q7" s="49">
        <v>300</v>
      </c>
      <c r="R7" s="49">
        <v>280</v>
      </c>
      <c r="S7" s="49">
        <v>155</v>
      </c>
      <c r="T7" s="49">
        <v>21</v>
      </c>
      <c r="U7" s="49">
        <v>10</v>
      </c>
      <c r="V7" s="49">
        <v>73</v>
      </c>
      <c r="W7" s="49">
        <v>120</v>
      </c>
      <c r="X7" s="49">
        <v>193</v>
      </c>
      <c r="Y7" s="49">
        <v>168</v>
      </c>
      <c r="Z7" s="50">
        <v>95</v>
      </c>
      <c r="AA7" s="49">
        <v>50</v>
      </c>
      <c r="AB7" s="49">
        <v>132</v>
      </c>
      <c r="AC7" s="49">
        <v>140</v>
      </c>
      <c r="AD7" s="49">
        <v>77</v>
      </c>
      <c r="AE7" s="49">
        <v>192</v>
      </c>
      <c r="AF7" s="49">
        <v>80</v>
      </c>
      <c r="AG7" s="49">
        <v>102</v>
      </c>
      <c r="AH7" s="49">
        <v>69</v>
      </c>
      <c r="AI7" s="49">
        <v>70</v>
      </c>
      <c r="AJ7" s="49">
        <v>159</v>
      </c>
      <c r="AK7" s="49">
        <v>83</v>
      </c>
      <c r="AL7" s="49">
        <v>93</v>
      </c>
      <c r="AM7" s="49">
        <v>33</v>
      </c>
      <c r="AN7" s="49">
        <v>70</v>
      </c>
      <c r="AO7" s="49">
        <v>137</v>
      </c>
      <c r="AP7" s="49">
        <v>115</v>
      </c>
      <c r="AQ7" s="49">
        <v>300</v>
      </c>
      <c r="AR7" s="49">
        <v>46</v>
      </c>
      <c r="AS7" s="49">
        <v>0</v>
      </c>
      <c r="AT7" s="49">
        <v>0</v>
      </c>
      <c r="AU7" s="49">
        <v>0</v>
      </c>
      <c r="AV7" s="49">
        <v>0</v>
      </c>
      <c r="AW7" s="49">
        <v>0</v>
      </c>
      <c r="AX7" s="49">
        <v>0</v>
      </c>
      <c r="AY7" s="44"/>
      <c r="AZ7" s="53">
        <v>46208</v>
      </c>
      <c r="BA7" s="62" t="s">
        <v>201</v>
      </c>
      <c r="BB7" s="63" t="s">
        <v>201</v>
      </c>
      <c r="BC7" s="63" t="s">
        <v>201</v>
      </c>
      <c r="BD7" s="63" t="s">
        <v>201</v>
      </c>
      <c r="BE7" s="63" t="s">
        <v>201</v>
      </c>
      <c r="BF7" s="63" t="s">
        <v>201</v>
      </c>
    </row>
    <row r="8" spans="1:58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54">
        <v>46209</v>
      </c>
      <c r="BA8" s="60" t="s">
        <v>201</v>
      </c>
      <c r="BB8" s="61" t="s">
        <v>201</v>
      </c>
      <c r="BC8" s="61" t="s">
        <v>201</v>
      </c>
      <c r="BD8" s="61" t="s">
        <v>201</v>
      </c>
      <c r="BE8" s="61" t="s">
        <v>201</v>
      </c>
      <c r="BF8" s="61" t="s">
        <v>201</v>
      </c>
    </row>
    <row r="9" spans="1:58">
      <c r="A9" s="45" t="s">
        <v>201</v>
      </c>
      <c r="B9" s="44" t="s">
        <v>201</v>
      </c>
      <c r="C9" s="44" t="s">
        <v>201</v>
      </c>
      <c r="D9" s="44" t="s">
        <v>201</v>
      </c>
      <c r="E9" s="44" t="s">
        <v>201</v>
      </c>
      <c r="F9" s="44" t="s">
        <v>201</v>
      </c>
      <c r="G9" s="44" t="s">
        <v>201</v>
      </c>
      <c r="H9" s="44" t="s">
        <v>201</v>
      </c>
      <c r="I9" s="44" t="s">
        <v>201</v>
      </c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53">
        <v>46210</v>
      </c>
      <c r="BA9" s="62" t="s">
        <v>201</v>
      </c>
      <c r="BB9" s="63" t="s">
        <v>201</v>
      </c>
      <c r="BC9" s="63" t="s">
        <v>201</v>
      </c>
      <c r="BD9" s="63" t="s">
        <v>201</v>
      </c>
      <c r="BE9" s="63" t="s">
        <v>201</v>
      </c>
      <c r="BF9" s="63" t="s">
        <v>201</v>
      </c>
    </row>
    <row r="10" spans="1:58">
      <c r="A10" s="47" t="s">
        <v>201</v>
      </c>
      <c r="B10" s="47" t="s">
        <v>201</v>
      </c>
      <c r="C10" s="47" t="s">
        <v>201</v>
      </c>
      <c r="D10" s="47" t="s">
        <v>201</v>
      </c>
      <c r="E10" s="47" t="s">
        <v>201</v>
      </c>
      <c r="F10" s="47" t="s">
        <v>201</v>
      </c>
      <c r="G10" s="47" t="s">
        <v>201</v>
      </c>
      <c r="H10" s="47" t="s">
        <v>201</v>
      </c>
      <c r="I10" s="44" t="s">
        <v>201</v>
      </c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54">
        <v>46211</v>
      </c>
      <c r="BA10" s="60" t="s">
        <v>201</v>
      </c>
      <c r="BB10" s="61" t="s">
        <v>201</v>
      </c>
      <c r="BC10" s="61" t="s">
        <v>201</v>
      </c>
      <c r="BD10" s="61" t="s">
        <v>201</v>
      </c>
      <c r="BE10" s="61" t="s">
        <v>201</v>
      </c>
      <c r="BF10" s="61" t="s">
        <v>201</v>
      </c>
    </row>
    <row r="11" spans="1:58">
      <c r="A11" s="46" t="s">
        <v>201</v>
      </c>
      <c r="B11" s="44" t="s">
        <v>201</v>
      </c>
      <c r="C11" s="44" t="s">
        <v>201</v>
      </c>
      <c r="D11" s="44" t="s">
        <v>201</v>
      </c>
      <c r="E11" s="44" t="s">
        <v>201</v>
      </c>
      <c r="F11" s="44" t="s">
        <v>201</v>
      </c>
      <c r="G11" s="44" t="s">
        <v>201</v>
      </c>
      <c r="H11" s="44" t="s">
        <v>201</v>
      </c>
      <c r="I11" s="44" t="s">
        <v>201</v>
      </c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53">
        <v>46212</v>
      </c>
      <c r="BA11" s="62" t="s">
        <v>201</v>
      </c>
      <c r="BB11" s="63" t="s">
        <v>201</v>
      </c>
      <c r="BC11" s="63" t="s">
        <v>201</v>
      </c>
      <c r="BD11" s="63" t="s">
        <v>201</v>
      </c>
      <c r="BE11" s="63" t="s">
        <v>201</v>
      </c>
      <c r="BF11" s="63" t="s">
        <v>201</v>
      </c>
    </row>
    <row r="12" spans="1:58">
      <c r="A12" s="46" t="s">
        <v>201</v>
      </c>
      <c r="B12" s="44" t="s">
        <v>201</v>
      </c>
      <c r="C12" s="44" t="s">
        <v>201</v>
      </c>
      <c r="D12" s="44" t="s">
        <v>201</v>
      </c>
      <c r="E12" s="44" t="s">
        <v>201</v>
      </c>
      <c r="F12" s="44" t="s">
        <v>201</v>
      </c>
      <c r="G12" s="44" t="s">
        <v>201</v>
      </c>
      <c r="H12" s="44" t="s">
        <v>201</v>
      </c>
      <c r="I12" s="44" t="s">
        <v>201</v>
      </c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54">
        <v>46213</v>
      </c>
      <c r="BA12" s="60" t="s">
        <v>201</v>
      </c>
      <c r="BB12" s="61" t="s">
        <v>201</v>
      </c>
      <c r="BC12" s="61" t="s">
        <v>201</v>
      </c>
      <c r="BD12" s="61" t="s">
        <v>201</v>
      </c>
      <c r="BE12" s="61" t="s">
        <v>201</v>
      </c>
      <c r="BF12" s="61" t="s">
        <v>201</v>
      </c>
    </row>
    <row r="13" spans="1:58">
      <c r="A13" s="46" t="s">
        <v>201</v>
      </c>
      <c r="B13" s="44" t="s">
        <v>201</v>
      </c>
      <c r="C13" s="44" t="s">
        <v>201</v>
      </c>
      <c r="D13" s="44" t="s">
        <v>201</v>
      </c>
      <c r="E13" s="44" t="s">
        <v>201</v>
      </c>
      <c r="F13" s="44" t="s">
        <v>201</v>
      </c>
      <c r="G13" s="44" t="s">
        <v>201</v>
      </c>
      <c r="H13" s="44" t="s">
        <v>201</v>
      </c>
      <c r="I13" s="44" t="s">
        <v>201</v>
      </c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53">
        <v>46214</v>
      </c>
      <c r="BA13" s="62" t="s">
        <v>201</v>
      </c>
      <c r="BB13" s="63" t="s">
        <v>201</v>
      </c>
      <c r="BC13" s="63" t="s">
        <v>201</v>
      </c>
      <c r="BD13" s="63" t="s">
        <v>201</v>
      </c>
      <c r="BE13" s="63" t="s">
        <v>201</v>
      </c>
      <c r="BF13" s="63" t="s">
        <v>201</v>
      </c>
    </row>
    <row r="14" spans="1:58">
      <c r="A14" s="46" t="s">
        <v>201</v>
      </c>
      <c r="B14" s="44" t="s">
        <v>201</v>
      </c>
      <c r="C14" s="44" t="s">
        <v>201</v>
      </c>
      <c r="D14" s="44" t="s">
        <v>201</v>
      </c>
      <c r="E14" s="44" t="s">
        <v>201</v>
      </c>
      <c r="F14" s="44" t="s">
        <v>201</v>
      </c>
      <c r="G14" s="44" t="s">
        <v>201</v>
      </c>
      <c r="H14" s="44" t="s">
        <v>201</v>
      </c>
      <c r="I14" s="44" t="s">
        <v>201</v>
      </c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54">
        <v>46215</v>
      </c>
      <c r="BA14" s="60" t="s">
        <v>201</v>
      </c>
      <c r="BB14" s="61" t="s">
        <v>201</v>
      </c>
      <c r="BC14" s="61" t="s">
        <v>201</v>
      </c>
      <c r="BD14" s="61" t="s">
        <v>201</v>
      </c>
      <c r="BE14" s="61" t="s">
        <v>201</v>
      </c>
      <c r="BF14" s="61" t="s">
        <v>201</v>
      </c>
    </row>
    <row r="15" spans="1:58">
      <c r="A15" s="46" t="s">
        <v>201</v>
      </c>
      <c r="B15" s="44" t="s">
        <v>201</v>
      </c>
      <c r="C15" s="44" t="s">
        <v>201</v>
      </c>
      <c r="D15" s="44" t="s">
        <v>201</v>
      </c>
      <c r="E15" s="44" t="s">
        <v>201</v>
      </c>
      <c r="F15" s="44" t="s">
        <v>201</v>
      </c>
      <c r="G15" s="44" t="s">
        <v>201</v>
      </c>
      <c r="H15" s="44" t="s">
        <v>201</v>
      </c>
      <c r="I15" s="44" t="s">
        <v>201</v>
      </c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53">
        <v>46216</v>
      </c>
      <c r="BA15" s="62" t="s">
        <v>201</v>
      </c>
      <c r="BB15" s="63" t="s">
        <v>201</v>
      </c>
      <c r="BC15" s="63" t="s">
        <v>201</v>
      </c>
      <c r="BD15" s="63" t="s">
        <v>201</v>
      </c>
      <c r="BE15" s="63" t="s">
        <v>201</v>
      </c>
      <c r="BF15" s="63" t="s">
        <v>201</v>
      </c>
    </row>
    <row r="16" spans="1:58">
      <c r="A16" s="46" t="s">
        <v>201</v>
      </c>
      <c r="B16" s="44" t="s">
        <v>201</v>
      </c>
      <c r="C16" s="44" t="s">
        <v>201</v>
      </c>
      <c r="D16" s="44" t="s">
        <v>201</v>
      </c>
      <c r="E16" s="44" t="s">
        <v>201</v>
      </c>
      <c r="F16" s="44" t="s">
        <v>201</v>
      </c>
      <c r="G16" s="44" t="s">
        <v>201</v>
      </c>
      <c r="H16" s="44" t="s">
        <v>201</v>
      </c>
      <c r="I16" s="44" t="s">
        <v>201</v>
      </c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54">
        <v>46217</v>
      </c>
      <c r="BA16" s="60" t="s">
        <v>201</v>
      </c>
      <c r="BB16" s="61" t="s">
        <v>201</v>
      </c>
      <c r="BC16" s="61" t="s">
        <v>201</v>
      </c>
      <c r="BD16" s="61" t="s">
        <v>201</v>
      </c>
      <c r="BE16" s="61" t="s">
        <v>201</v>
      </c>
      <c r="BF16" s="61" t="s">
        <v>201</v>
      </c>
    </row>
    <row r="17" spans="1:58">
      <c r="A17" s="46" t="s">
        <v>201</v>
      </c>
      <c r="B17" s="44" t="s">
        <v>201</v>
      </c>
      <c r="C17" s="44" t="s">
        <v>201</v>
      </c>
      <c r="D17" s="44" t="s">
        <v>201</v>
      </c>
      <c r="E17" s="44" t="s">
        <v>201</v>
      </c>
      <c r="F17" s="44" t="s">
        <v>201</v>
      </c>
      <c r="G17" s="44" t="s">
        <v>201</v>
      </c>
      <c r="H17" s="44" t="s">
        <v>201</v>
      </c>
      <c r="I17" s="44" t="s">
        <v>201</v>
      </c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53">
        <v>46218</v>
      </c>
      <c r="BA17" s="62" t="s">
        <v>201</v>
      </c>
      <c r="BB17" s="63" t="s">
        <v>201</v>
      </c>
      <c r="BC17" s="63" t="s">
        <v>201</v>
      </c>
      <c r="BD17" s="63" t="s">
        <v>201</v>
      </c>
      <c r="BE17" s="63" t="s">
        <v>201</v>
      </c>
      <c r="BF17" s="63" t="s">
        <v>201</v>
      </c>
    </row>
    <row r="18" spans="1:58">
      <c r="A18" s="46" t="s">
        <v>201</v>
      </c>
      <c r="B18" s="44" t="s">
        <v>201</v>
      </c>
      <c r="C18" s="44" t="s">
        <v>201</v>
      </c>
      <c r="D18" s="44" t="s">
        <v>201</v>
      </c>
      <c r="E18" s="44" t="s">
        <v>201</v>
      </c>
      <c r="F18" s="44" t="s">
        <v>201</v>
      </c>
      <c r="G18" s="44" t="s">
        <v>201</v>
      </c>
      <c r="H18" s="44" t="s">
        <v>201</v>
      </c>
      <c r="I18" s="44" t="s">
        <v>201</v>
      </c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54">
        <v>46219</v>
      </c>
      <c r="BA18" s="60" t="s">
        <v>201</v>
      </c>
      <c r="BB18" s="61" t="s">
        <v>201</v>
      </c>
      <c r="BC18" s="61" t="s">
        <v>201</v>
      </c>
      <c r="BD18" s="61" t="s">
        <v>201</v>
      </c>
      <c r="BE18" s="61" t="s">
        <v>201</v>
      </c>
      <c r="BF18" s="61" t="s">
        <v>201</v>
      </c>
    </row>
    <row r="19" spans="1:58">
      <c r="A19" s="46" t="s">
        <v>201</v>
      </c>
      <c r="B19" s="44" t="s">
        <v>201</v>
      </c>
      <c r="C19" s="44" t="s">
        <v>201</v>
      </c>
      <c r="D19" s="44" t="s">
        <v>201</v>
      </c>
      <c r="E19" s="44" t="s">
        <v>201</v>
      </c>
      <c r="F19" s="44" t="s">
        <v>201</v>
      </c>
      <c r="G19" s="44" t="s">
        <v>201</v>
      </c>
      <c r="H19" s="44" t="s">
        <v>201</v>
      </c>
      <c r="I19" s="44" t="s">
        <v>201</v>
      </c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53">
        <v>46220</v>
      </c>
      <c r="BA19" s="62" t="s">
        <v>201</v>
      </c>
      <c r="BB19" s="63" t="s">
        <v>201</v>
      </c>
      <c r="BC19" s="63" t="s">
        <v>201</v>
      </c>
      <c r="BD19" s="63" t="s">
        <v>201</v>
      </c>
      <c r="BE19" s="63" t="s">
        <v>201</v>
      </c>
      <c r="BF19" s="63" t="s">
        <v>201</v>
      </c>
    </row>
    <row r="20" spans="1:58">
      <c r="A20" s="46" t="s">
        <v>201</v>
      </c>
      <c r="B20" s="44" t="s">
        <v>201</v>
      </c>
      <c r="C20" s="44" t="s">
        <v>201</v>
      </c>
      <c r="D20" s="44" t="s">
        <v>201</v>
      </c>
      <c r="E20" s="44" t="s">
        <v>201</v>
      </c>
      <c r="F20" s="44" t="s">
        <v>201</v>
      </c>
      <c r="G20" s="44" t="s">
        <v>201</v>
      </c>
      <c r="H20" s="44" t="s">
        <v>201</v>
      </c>
      <c r="I20" s="44" t="s">
        <v>201</v>
      </c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44"/>
      <c r="AV20" s="44"/>
      <c r="AW20" s="44"/>
      <c r="AX20" s="44"/>
      <c r="AY20" s="44"/>
      <c r="AZ20" s="54">
        <v>46221</v>
      </c>
      <c r="BA20" s="60" t="s">
        <v>201</v>
      </c>
      <c r="BB20" s="61" t="s">
        <v>201</v>
      </c>
      <c r="BC20" s="61" t="s">
        <v>201</v>
      </c>
      <c r="BD20" s="61" t="s">
        <v>201</v>
      </c>
      <c r="BE20" s="61" t="s">
        <v>201</v>
      </c>
      <c r="BF20" s="61" t="s">
        <v>201</v>
      </c>
    </row>
    <row r="21" spans="1:58">
      <c r="A21" s="46" t="s">
        <v>201</v>
      </c>
      <c r="B21" s="44" t="s">
        <v>201</v>
      </c>
      <c r="C21" s="44" t="s">
        <v>201</v>
      </c>
      <c r="D21" s="44" t="s">
        <v>201</v>
      </c>
      <c r="E21" s="44" t="s">
        <v>201</v>
      </c>
      <c r="F21" s="44" t="s">
        <v>201</v>
      </c>
      <c r="G21" s="44" t="s">
        <v>201</v>
      </c>
      <c r="H21" s="44" t="s">
        <v>201</v>
      </c>
      <c r="I21" s="44" t="s">
        <v>201</v>
      </c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44"/>
      <c r="AX21" s="44"/>
      <c r="AY21" s="44"/>
      <c r="AZ21" s="53">
        <v>46222</v>
      </c>
      <c r="BA21" s="62" t="s">
        <v>201</v>
      </c>
      <c r="BB21" s="63" t="s">
        <v>201</v>
      </c>
      <c r="BC21" s="63" t="s">
        <v>201</v>
      </c>
      <c r="BD21" s="63" t="s">
        <v>201</v>
      </c>
      <c r="BE21" s="63" t="s">
        <v>201</v>
      </c>
      <c r="BF21" s="63" t="s">
        <v>201</v>
      </c>
    </row>
    <row r="22" spans="1:58">
      <c r="A22" s="46" t="s">
        <v>201</v>
      </c>
      <c r="B22" s="44" t="s">
        <v>201</v>
      </c>
      <c r="C22" s="44" t="s">
        <v>201</v>
      </c>
      <c r="D22" s="44" t="s">
        <v>201</v>
      </c>
      <c r="E22" s="44" t="s">
        <v>201</v>
      </c>
      <c r="F22" s="44" t="s">
        <v>201</v>
      </c>
      <c r="G22" s="44" t="s">
        <v>201</v>
      </c>
      <c r="H22" s="44" t="s">
        <v>201</v>
      </c>
      <c r="I22" s="44" t="s">
        <v>201</v>
      </c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AY22" s="44"/>
      <c r="AZ22" s="54">
        <v>46223</v>
      </c>
      <c r="BA22" s="60" t="s">
        <v>201</v>
      </c>
      <c r="BB22" s="61" t="s">
        <v>201</v>
      </c>
      <c r="BC22" s="61" t="s">
        <v>201</v>
      </c>
      <c r="BD22" s="61" t="s">
        <v>201</v>
      </c>
      <c r="BE22" s="61" t="s">
        <v>201</v>
      </c>
      <c r="BF22" s="61" t="s">
        <v>201</v>
      </c>
    </row>
    <row r="23" spans="1:58">
      <c r="A23" s="46" t="s">
        <v>201</v>
      </c>
      <c r="B23" s="44" t="s">
        <v>201</v>
      </c>
      <c r="C23" s="44" t="s">
        <v>201</v>
      </c>
      <c r="D23" s="44" t="s">
        <v>201</v>
      </c>
      <c r="E23" s="44" t="s">
        <v>201</v>
      </c>
      <c r="F23" s="44" t="s">
        <v>201</v>
      </c>
      <c r="G23" s="44" t="s">
        <v>201</v>
      </c>
      <c r="H23" s="44" t="s">
        <v>201</v>
      </c>
      <c r="I23" s="44" t="s">
        <v>201</v>
      </c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44"/>
      <c r="AU23" s="44"/>
      <c r="AV23" s="44"/>
      <c r="AW23" s="44"/>
      <c r="AX23" s="44"/>
      <c r="AY23" s="44"/>
      <c r="AZ23" s="53">
        <v>46224</v>
      </c>
      <c r="BA23" s="62" t="s">
        <v>201</v>
      </c>
      <c r="BB23" s="63" t="s">
        <v>201</v>
      </c>
      <c r="BC23" s="63" t="s">
        <v>201</v>
      </c>
      <c r="BD23" s="63" t="s">
        <v>201</v>
      </c>
      <c r="BE23" s="63" t="s">
        <v>201</v>
      </c>
      <c r="BF23" s="63" t="s">
        <v>201</v>
      </c>
    </row>
    <row r="24" spans="1:58">
      <c r="A24" s="46" t="s">
        <v>201</v>
      </c>
      <c r="B24" s="44" t="s">
        <v>201</v>
      </c>
      <c r="C24" s="44" t="s">
        <v>201</v>
      </c>
      <c r="D24" s="44" t="s">
        <v>201</v>
      </c>
      <c r="E24" s="44" t="s">
        <v>201</v>
      </c>
      <c r="F24" s="44" t="s">
        <v>201</v>
      </c>
      <c r="G24" s="44" t="s">
        <v>201</v>
      </c>
      <c r="H24" s="44" t="s">
        <v>201</v>
      </c>
      <c r="I24" s="44" t="s">
        <v>201</v>
      </c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54">
        <v>46225</v>
      </c>
      <c r="BA24" s="60" t="s">
        <v>201</v>
      </c>
      <c r="BB24" s="61" t="s">
        <v>201</v>
      </c>
      <c r="BC24" s="61" t="s">
        <v>201</v>
      </c>
      <c r="BD24" s="61" t="s">
        <v>201</v>
      </c>
      <c r="BE24" s="61" t="s">
        <v>201</v>
      </c>
      <c r="BF24" s="61" t="s">
        <v>201</v>
      </c>
    </row>
    <row r="25" spans="1:58">
      <c r="A25" s="46" t="s">
        <v>201</v>
      </c>
      <c r="B25" s="44" t="s">
        <v>201</v>
      </c>
      <c r="C25" s="44" t="s">
        <v>201</v>
      </c>
      <c r="D25" s="44" t="s">
        <v>201</v>
      </c>
      <c r="E25" s="44" t="s">
        <v>201</v>
      </c>
      <c r="F25" s="44" t="s">
        <v>201</v>
      </c>
      <c r="G25" s="44" t="s">
        <v>201</v>
      </c>
      <c r="H25" s="44" t="s">
        <v>201</v>
      </c>
      <c r="I25" s="44" t="s">
        <v>201</v>
      </c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44"/>
      <c r="AX25" s="44"/>
      <c r="AY25" s="44"/>
      <c r="AZ25" s="53">
        <v>46226</v>
      </c>
      <c r="BA25" s="62" t="s">
        <v>201</v>
      </c>
      <c r="BB25" s="63" t="s">
        <v>201</v>
      </c>
      <c r="BC25" s="63" t="s">
        <v>201</v>
      </c>
      <c r="BD25" s="63" t="s">
        <v>201</v>
      </c>
      <c r="BE25" s="63" t="s">
        <v>201</v>
      </c>
      <c r="BF25" s="63" t="s">
        <v>201</v>
      </c>
    </row>
    <row r="26" spans="1:58">
      <c r="A26" s="46" t="s">
        <v>201</v>
      </c>
      <c r="B26" s="44" t="s">
        <v>201</v>
      </c>
      <c r="C26" s="44" t="s">
        <v>201</v>
      </c>
      <c r="D26" s="44" t="s">
        <v>201</v>
      </c>
      <c r="E26" s="44" t="s">
        <v>201</v>
      </c>
      <c r="F26" s="44" t="s">
        <v>201</v>
      </c>
      <c r="G26" s="44" t="s">
        <v>201</v>
      </c>
      <c r="H26" s="44" t="s">
        <v>201</v>
      </c>
      <c r="I26" s="44" t="s">
        <v>201</v>
      </c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54">
        <v>46227</v>
      </c>
      <c r="BA26" s="60" t="s">
        <v>201</v>
      </c>
      <c r="BB26" s="61" t="s">
        <v>201</v>
      </c>
      <c r="BC26" s="61" t="s">
        <v>201</v>
      </c>
      <c r="BD26" s="61" t="s">
        <v>201</v>
      </c>
      <c r="BE26" s="61" t="s">
        <v>201</v>
      </c>
      <c r="BF26" s="61" t="s">
        <v>201</v>
      </c>
    </row>
    <row r="27" spans="1:58">
      <c r="A27" s="46" t="s">
        <v>201</v>
      </c>
      <c r="B27" s="44" t="s">
        <v>201</v>
      </c>
      <c r="C27" s="44" t="s">
        <v>201</v>
      </c>
      <c r="D27" s="44" t="s">
        <v>201</v>
      </c>
      <c r="E27" s="44" t="s">
        <v>201</v>
      </c>
      <c r="F27" s="44" t="s">
        <v>201</v>
      </c>
      <c r="G27" s="44" t="s">
        <v>201</v>
      </c>
      <c r="H27" s="44" t="s">
        <v>201</v>
      </c>
      <c r="I27" s="44" t="s">
        <v>201</v>
      </c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4"/>
      <c r="AZ27" s="53">
        <v>46228</v>
      </c>
      <c r="BA27" s="62" t="s">
        <v>201</v>
      </c>
      <c r="BB27" s="63" t="s">
        <v>201</v>
      </c>
      <c r="BC27" s="63" t="s">
        <v>201</v>
      </c>
      <c r="BD27" s="63" t="s">
        <v>201</v>
      </c>
      <c r="BE27" s="63" t="s">
        <v>201</v>
      </c>
      <c r="BF27" s="63" t="s">
        <v>201</v>
      </c>
    </row>
    <row r="28" spans="1:58">
      <c r="A28" s="46" t="s">
        <v>201</v>
      </c>
      <c r="B28" s="44" t="s">
        <v>201</v>
      </c>
      <c r="C28" s="44" t="s">
        <v>201</v>
      </c>
      <c r="D28" s="44" t="s">
        <v>201</v>
      </c>
      <c r="E28" s="44" t="s">
        <v>201</v>
      </c>
      <c r="F28" s="44" t="s">
        <v>201</v>
      </c>
      <c r="G28" s="44" t="s">
        <v>201</v>
      </c>
      <c r="H28" s="44" t="s">
        <v>201</v>
      </c>
      <c r="I28" s="44" t="s">
        <v>201</v>
      </c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54">
        <v>46229</v>
      </c>
      <c r="BA28" s="60" t="s">
        <v>201</v>
      </c>
      <c r="BB28" s="61" t="s">
        <v>201</v>
      </c>
      <c r="BC28" s="61" t="s">
        <v>201</v>
      </c>
      <c r="BD28" s="61" t="s">
        <v>201</v>
      </c>
      <c r="BE28" s="61" t="s">
        <v>201</v>
      </c>
      <c r="BF28" s="61" t="s">
        <v>201</v>
      </c>
    </row>
    <row r="29" spans="1:58">
      <c r="A29" s="46" t="s">
        <v>201</v>
      </c>
      <c r="B29" s="44" t="s">
        <v>201</v>
      </c>
      <c r="C29" s="44" t="s">
        <v>201</v>
      </c>
      <c r="D29" s="44" t="s">
        <v>201</v>
      </c>
      <c r="E29" s="44" t="s">
        <v>201</v>
      </c>
      <c r="F29" s="44" t="s">
        <v>201</v>
      </c>
      <c r="G29" s="44" t="s">
        <v>201</v>
      </c>
      <c r="H29" s="44" t="s">
        <v>201</v>
      </c>
      <c r="I29" s="44" t="s">
        <v>201</v>
      </c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44"/>
      <c r="AX29" s="44"/>
      <c r="AY29" s="44"/>
      <c r="AZ29" s="53">
        <v>46230</v>
      </c>
      <c r="BA29" s="62" t="s">
        <v>201</v>
      </c>
      <c r="BB29" s="63" t="s">
        <v>201</v>
      </c>
      <c r="BC29" s="63" t="s">
        <v>201</v>
      </c>
      <c r="BD29" s="63" t="s">
        <v>201</v>
      </c>
      <c r="BE29" s="63" t="s">
        <v>201</v>
      </c>
      <c r="BF29" s="63" t="s">
        <v>201</v>
      </c>
    </row>
    <row r="30" spans="1:58">
      <c r="A30" s="46" t="s">
        <v>201</v>
      </c>
      <c r="B30" s="44" t="s">
        <v>201</v>
      </c>
      <c r="C30" s="44" t="s">
        <v>201</v>
      </c>
      <c r="D30" s="44" t="s">
        <v>201</v>
      </c>
      <c r="E30" s="44" t="s">
        <v>201</v>
      </c>
      <c r="F30" s="44" t="s">
        <v>201</v>
      </c>
      <c r="G30" s="44" t="s">
        <v>201</v>
      </c>
      <c r="H30" s="44" t="s">
        <v>201</v>
      </c>
      <c r="I30" s="44" t="s">
        <v>201</v>
      </c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44"/>
      <c r="AZ30" s="54">
        <v>46231</v>
      </c>
      <c r="BA30" s="60" t="s">
        <v>201</v>
      </c>
      <c r="BB30" s="61" t="s">
        <v>201</v>
      </c>
      <c r="BC30" s="61" t="s">
        <v>201</v>
      </c>
      <c r="BD30" s="61" t="s">
        <v>201</v>
      </c>
      <c r="BE30" s="61" t="s">
        <v>201</v>
      </c>
      <c r="BF30" s="61" t="s">
        <v>201</v>
      </c>
    </row>
    <row r="31" spans="1:58">
      <c r="A31" s="46" t="s">
        <v>201</v>
      </c>
      <c r="B31" s="44" t="s">
        <v>201</v>
      </c>
      <c r="C31" s="44" t="s">
        <v>201</v>
      </c>
      <c r="D31" s="44" t="s">
        <v>201</v>
      </c>
      <c r="E31" s="44" t="s">
        <v>201</v>
      </c>
      <c r="F31" s="44" t="s">
        <v>201</v>
      </c>
      <c r="G31" s="44" t="s">
        <v>201</v>
      </c>
      <c r="H31" s="44" t="s">
        <v>201</v>
      </c>
      <c r="I31" s="44" t="s">
        <v>201</v>
      </c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4"/>
      <c r="AW31" s="44"/>
      <c r="AX31" s="44"/>
      <c r="AY31" s="44"/>
      <c r="AZ31" s="53">
        <v>46232</v>
      </c>
      <c r="BA31" s="62" t="s">
        <v>201</v>
      </c>
      <c r="BB31" s="63" t="s">
        <v>201</v>
      </c>
      <c r="BC31" s="63" t="s">
        <v>201</v>
      </c>
      <c r="BD31" s="63" t="s">
        <v>201</v>
      </c>
      <c r="BE31" s="63" t="s">
        <v>201</v>
      </c>
      <c r="BF31" s="63" t="s">
        <v>201</v>
      </c>
    </row>
    <row r="32" spans="1:58">
      <c r="A32" s="46" t="s">
        <v>201</v>
      </c>
      <c r="B32" s="44" t="s">
        <v>201</v>
      </c>
      <c r="C32" s="44" t="s">
        <v>201</v>
      </c>
      <c r="D32" s="44" t="s">
        <v>201</v>
      </c>
      <c r="E32" s="44" t="s">
        <v>201</v>
      </c>
      <c r="F32" s="44" t="s">
        <v>201</v>
      </c>
      <c r="G32" s="44" t="s">
        <v>201</v>
      </c>
      <c r="H32" s="44" t="s">
        <v>201</v>
      </c>
      <c r="I32" s="44" t="s">
        <v>201</v>
      </c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44"/>
      <c r="AV32" s="44"/>
      <c r="AW32" s="44"/>
      <c r="AX32" s="44"/>
      <c r="AY32" s="44"/>
      <c r="AZ32" s="54">
        <v>46233</v>
      </c>
      <c r="BA32" s="60" t="s">
        <v>201</v>
      </c>
      <c r="BB32" s="61" t="s">
        <v>201</v>
      </c>
      <c r="BC32" s="61" t="s">
        <v>201</v>
      </c>
      <c r="BD32" s="61" t="s">
        <v>201</v>
      </c>
      <c r="BE32" s="61" t="s">
        <v>201</v>
      </c>
      <c r="BF32" s="61" t="s">
        <v>201</v>
      </c>
    </row>
    <row r="33" spans="1:58">
      <c r="A33" s="46" t="s">
        <v>201</v>
      </c>
      <c r="B33" s="44" t="s">
        <v>201</v>
      </c>
      <c r="C33" s="44" t="s">
        <v>201</v>
      </c>
      <c r="D33" s="44" t="s">
        <v>201</v>
      </c>
      <c r="E33" s="44" t="s">
        <v>201</v>
      </c>
      <c r="F33" s="44" t="s">
        <v>201</v>
      </c>
      <c r="G33" s="44" t="s">
        <v>201</v>
      </c>
      <c r="H33" s="44" t="s">
        <v>201</v>
      </c>
      <c r="I33" s="44" t="s">
        <v>201</v>
      </c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44"/>
      <c r="AS33" s="44"/>
      <c r="AT33" s="44"/>
      <c r="AU33" s="44"/>
      <c r="AV33" s="44"/>
      <c r="AW33" s="44"/>
      <c r="AX33" s="44"/>
      <c r="AY33" s="44"/>
      <c r="AZ33" s="53">
        <v>46234</v>
      </c>
      <c r="BA33" s="62" t="s">
        <v>201</v>
      </c>
      <c r="BB33" s="63" t="s">
        <v>201</v>
      </c>
      <c r="BC33" s="63" t="s">
        <v>201</v>
      </c>
      <c r="BD33" s="63" t="s">
        <v>201</v>
      </c>
      <c r="BE33" s="63" t="s">
        <v>201</v>
      </c>
      <c r="BF33" s="63" t="s">
        <v>201</v>
      </c>
    </row>
    <row r="34" spans="1:58">
      <c r="A34" s="46" t="s">
        <v>201</v>
      </c>
      <c r="B34" s="44" t="s">
        <v>201</v>
      </c>
      <c r="C34" s="44" t="s">
        <v>201</v>
      </c>
      <c r="D34" s="44" t="s">
        <v>201</v>
      </c>
      <c r="E34" s="44" t="s">
        <v>201</v>
      </c>
      <c r="F34" s="44" t="s">
        <v>201</v>
      </c>
      <c r="G34" s="44" t="s">
        <v>201</v>
      </c>
      <c r="H34" s="44" t="s">
        <v>201</v>
      </c>
      <c r="I34" s="44" t="s">
        <v>201</v>
      </c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54">
        <v>46235</v>
      </c>
      <c r="BA34" s="60" t="s">
        <v>201</v>
      </c>
      <c r="BB34" s="61" t="s">
        <v>201</v>
      </c>
      <c r="BC34" s="61" t="s">
        <v>201</v>
      </c>
      <c r="BD34" s="61" t="s">
        <v>201</v>
      </c>
      <c r="BE34" s="61" t="s">
        <v>201</v>
      </c>
      <c r="BF34" s="61" t="s">
        <v>201</v>
      </c>
    </row>
    <row r="35" spans="1:58">
      <c r="A35" s="46" t="s">
        <v>201</v>
      </c>
      <c r="B35" s="44" t="s">
        <v>201</v>
      </c>
      <c r="C35" s="44" t="s">
        <v>201</v>
      </c>
      <c r="D35" s="44" t="s">
        <v>201</v>
      </c>
      <c r="E35" s="44" t="s">
        <v>201</v>
      </c>
      <c r="F35" s="44" t="s">
        <v>201</v>
      </c>
      <c r="G35" s="44" t="s">
        <v>201</v>
      </c>
      <c r="H35" s="44" t="s">
        <v>201</v>
      </c>
      <c r="I35" s="44" t="s">
        <v>201</v>
      </c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44"/>
      <c r="AS35" s="44"/>
      <c r="AT35" s="44"/>
      <c r="AU35" s="44"/>
      <c r="AV35" s="44"/>
      <c r="AW35" s="44"/>
      <c r="AX35" s="44"/>
      <c r="AY35" s="44"/>
      <c r="AZ35" s="53">
        <v>46236</v>
      </c>
      <c r="BA35" s="62" t="s">
        <v>201</v>
      </c>
      <c r="BB35" s="63" t="s">
        <v>201</v>
      </c>
      <c r="BC35" s="63" t="s">
        <v>201</v>
      </c>
      <c r="BD35" s="63" t="s">
        <v>201</v>
      </c>
      <c r="BE35" s="63" t="s">
        <v>201</v>
      </c>
      <c r="BF35" s="63" t="s">
        <v>201</v>
      </c>
    </row>
    <row r="36" spans="1:58">
      <c r="A36" s="46" t="s">
        <v>201</v>
      </c>
      <c r="B36" s="44" t="s">
        <v>201</v>
      </c>
      <c r="C36" s="44" t="s">
        <v>201</v>
      </c>
      <c r="D36" s="44" t="s">
        <v>201</v>
      </c>
      <c r="E36" s="44" t="s">
        <v>201</v>
      </c>
      <c r="F36" s="44" t="s">
        <v>201</v>
      </c>
      <c r="G36" s="44" t="s">
        <v>201</v>
      </c>
      <c r="H36" s="44" t="s">
        <v>201</v>
      </c>
      <c r="I36" s="44" t="s">
        <v>201</v>
      </c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  <c r="AK36" s="44"/>
      <c r="AL36" s="44"/>
      <c r="AM36" s="44"/>
      <c r="AN36" s="44"/>
      <c r="AO36" s="44"/>
      <c r="AP36" s="44"/>
      <c r="AQ36" s="44"/>
      <c r="AR36" s="44"/>
      <c r="AS36" s="44"/>
      <c r="AT36" s="44"/>
      <c r="AU36" s="44"/>
      <c r="AV36" s="44"/>
      <c r="AW36" s="44"/>
      <c r="AX36" s="44"/>
      <c r="AY36" s="44"/>
      <c r="AZ36" s="54">
        <v>46237</v>
      </c>
      <c r="BA36" s="60" t="s">
        <v>201</v>
      </c>
      <c r="BB36" s="61" t="s">
        <v>201</v>
      </c>
      <c r="BC36" s="61" t="s">
        <v>201</v>
      </c>
      <c r="BD36" s="61" t="s">
        <v>201</v>
      </c>
      <c r="BE36" s="61" t="s">
        <v>201</v>
      </c>
      <c r="BF36" s="61" t="s">
        <v>201</v>
      </c>
    </row>
    <row r="37" spans="1:58">
      <c r="A37" s="46" t="s">
        <v>201</v>
      </c>
      <c r="B37" s="44" t="s">
        <v>201</v>
      </c>
      <c r="C37" s="44" t="s">
        <v>201</v>
      </c>
      <c r="D37" s="44" t="s">
        <v>201</v>
      </c>
      <c r="E37" s="44" t="s">
        <v>201</v>
      </c>
      <c r="F37" s="44" t="s">
        <v>201</v>
      </c>
      <c r="G37" s="44" t="s">
        <v>201</v>
      </c>
      <c r="H37" s="44" t="s">
        <v>201</v>
      </c>
      <c r="I37" s="44" t="s">
        <v>201</v>
      </c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53">
        <v>46238</v>
      </c>
      <c r="BA37" s="62" t="s">
        <v>201</v>
      </c>
      <c r="BB37" s="63" t="s">
        <v>201</v>
      </c>
      <c r="BC37" s="63" t="s">
        <v>201</v>
      </c>
      <c r="BD37" s="63" t="s">
        <v>201</v>
      </c>
      <c r="BE37" s="63" t="s">
        <v>201</v>
      </c>
      <c r="BF37" s="63" t="s">
        <v>201</v>
      </c>
    </row>
    <row r="38" spans="1:58">
      <c r="A38" s="46" t="s">
        <v>201</v>
      </c>
      <c r="B38" s="44" t="s">
        <v>201</v>
      </c>
      <c r="C38" s="44" t="s">
        <v>201</v>
      </c>
      <c r="D38" s="44" t="s">
        <v>201</v>
      </c>
      <c r="E38" s="44" t="s">
        <v>201</v>
      </c>
      <c r="F38" s="44" t="s">
        <v>201</v>
      </c>
      <c r="G38" s="44" t="s">
        <v>201</v>
      </c>
      <c r="H38" s="44" t="s">
        <v>201</v>
      </c>
      <c r="I38" s="44" t="s">
        <v>201</v>
      </c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4"/>
      <c r="AX38" s="44"/>
      <c r="AY38" s="44"/>
      <c r="AZ38" s="54">
        <v>46239</v>
      </c>
      <c r="BA38" s="60" t="s">
        <v>201</v>
      </c>
      <c r="BB38" s="61" t="s">
        <v>201</v>
      </c>
      <c r="BC38" s="61" t="s">
        <v>201</v>
      </c>
      <c r="BD38" s="61" t="s">
        <v>201</v>
      </c>
      <c r="BE38" s="61" t="s">
        <v>201</v>
      </c>
      <c r="BF38" s="61" t="s">
        <v>201</v>
      </c>
    </row>
    <row r="39" spans="1:58">
      <c r="A39" s="46" t="s">
        <v>201</v>
      </c>
      <c r="B39" s="44" t="s">
        <v>201</v>
      </c>
      <c r="C39" s="44" t="s">
        <v>201</v>
      </c>
      <c r="D39" s="44" t="s">
        <v>201</v>
      </c>
      <c r="E39" s="44" t="s">
        <v>201</v>
      </c>
      <c r="F39" s="44" t="s">
        <v>201</v>
      </c>
      <c r="G39" s="44" t="s">
        <v>201</v>
      </c>
      <c r="H39" s="44" t="s">
        <v>201</v>
      </c>
      <c r="I39" s="44" t="s">
        <v>201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53">
        <v>46240</v>
      </c>
      <c r="BA39" s="62" t="s">
        <v>201</v>
      </c>
      <c r="BB39" s="63" t="s">
        <v>201</v>
      </c>
      <c r="BC39" s="63" t="s">
        <v>201</v>
      </c>
      <c r="BD39" s="63" t="s">
        <v>201</v>
      </c>
      <c r="BE39" s="63" t="s">
        <v>201</v>
      </c>
      <c r="BF39" s="63" t="s">
        <v>201</v>
      </c>
    </row>
    <row r="40" spans="1:58">
      <c r="A40" s="46" t="s">
        <v>201</v>
      </c>
      <c r="B40" s="44" t="s">
        <v>201</v>
      </c>
      <c r="C40" s="44" t="s">
        <v>201</v>
      </c>
      <c r="D40" s="44" t="s">
        <v>201</v>
      </c>
      <c r="E40" s="44" t="s">
        <v>201</v>
      </c>
      <c r="F40" s="44" t="s">
        <v>201</v>
      </c>
      <c r="G40" s="44" t="s">
        <v>201</v>
      </c>
      <c r="H40" s="44" t="s">
        <v>201</v>
      </c>
      <c r="I40" s="44" t="s">
        <v>201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  <c r="AK40" s="44"/>
      <c r="AL40" s="44"/>
      <c r="AM40" s="44"/>
      <c r="AN40" s="44"/>
      <c r="AO40" s="44"/>
      <c r="AP40" s="44"/>
      <c r="AQ40" s="44"/>
      <c r="AR40" s="44"/>
      <c r="AS40" s="44"/>
      <c r="AT40" s="44"/>
      <c r="AU40" s="44"/>
      <c r="AV40" s="44"/>
      <c r="AW40" s="44"/>
      <c r="AX40" s="44"/>
      <c r="AY40" s="44"/>
      <c r="AZ40" s="54">
        <v>46241</v>
      </c>
      <c r="BA40" s="60" t="s">
        <v>201</v>
      </c>
      <c r="BB40" s="61" t="s">
        <v>201</v>
      </c>
      <c r="BC40" s="61" t="s">
        <v>201</v>
      </c>
      <c r="BD40" s="61" t="s">
        <v>201</v>
      </c>
      <c r="BE40" s="61" t="s">
        <v>201</v>
      </c>
      <c r="BF40" s="61" t="s">
        <v>201</v>
      </c>
    </row>
    <row r="41" spans="1:58">
      <c r="A41" s="46" t="s">
        <v>201</v>
      </c>
      <c r="B41" s="44" t="s">
        <v>201</v>
      </c>
      <c r="C41" s="44" t="s">
        <v>201</v>
      </c>
      <c r="D41" s="44" t="s">
        <v>201</v>
      </c>
      <c r="E41" s="44" t="s">
        <v>201</v>
      </c>
      <c r="F41" s="44" t="s">
        <v>201</v>
      </c>
      <c r="G41" s="44" t="s">
        <v>201</v>
      </c>
      <c r="H41" s="44" t="s">
        <v>201</v>
      </c>
      <c r="I41" s="44" t="s">
        <v>201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44"/>
      <c r="AS41" s="44"/>
      <c r="AT41" s="44"/>
      <c r="AU41" s="44"/>
      <c r="AV41" s="44"/>
      <c r="AW41" s="44"/>
      <c r="AX41" s="44"/>
      <c r="AY41" s="44"/>
      <c r="AZ41" s="53">
        <v>46242</v>
      </c>
      <c r="BA41" s="62" t="s">
        <v>201</v>
      </c>
      <c r="BB41" s="63" t="s">
        <v>201</v>
      </c>
      <c r="BC41" s="63" t="s">
        <v>201</v>
      </c>
      <c r="BD41" s="63" t="s">
        <v>201</v>
      </c>
      <c r="BE41" s="63" t="s">
        <v>201</v>
      </c>
      <c r="BF41" s="63" t="s">
        <v>201</v>
      </c>
    </row>
    <row r="42" spans="1:58">
      <c r="A42" s="46" t="s">
        <v>201</v>
      </c>
      <c r="B42" s="44" t="s">
        <v>201</v>
      </c>
      <c r="C42" s="44" t="s">
        <v>201</v>
      </c>
      <c r="D42" s="44" t="s">
        <v>201</v>
      </c>
      <c r="E42" s="44" t="s">
        <v>201</v>
      </c>
      <c r="F42" s="44" t="s">
        <v>201</v>
      </c>
      <c r="G42" s="44" t="s">
        <v>201</v>
      </c>
      <c r="H42" s="44" t="s">
        <v>201</v>
      </c>
      <c r="I42" s="44" t="s">
        <v>201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44"/>
      <c r="AM42" s="44"/>
      <c r="AN42" s="44"/>
      <c r="AO42" s="44"/>
      <c r="AP42" s="44"/>
      <c r="AQ42" s="44"/>
      <c r="AR42" s="44"/>
      <c r="AS42" s="44"/>
      <c r="AT42" s="44"/>
      <c r="AU42" s="44"/>
      <c r="AV42" s="44"/>
      <c r="AW42" s="44"/>
      <c r="AX42" s="44"/>
      <c r="AY42" s="44"/>
      <c r="AZ42" s="54">
        <v>46243</v>
      </c>
      <c r="BA42" s="60" t="s">
        <v>201</v>
      </c>
      <c r="BB42" s="61" t="s">
        <v>201</v>
      </c>
      <c r="BC42" s="61" t="s">
        <v>201</v>
      </c>
      <c r="BD42" s="61" t="s">
        <v>201</v>
      </c>
      <c r="BE42" s="61" t="s">
        <v>201</v>
      </c>
      <c r="BF42" s="61" t="s">
        <v>201</v>
      </c>
    </row>
    <row r="43" spans="1:58">
      <c r="A43" s="46" t="s">
        <v>201</v>
      </c>
      <c r="B43" s="44" t="s">
        <v>201</v>
      </c>
      <c r="C43" s="44" t="s">
        <v>201</v>
      </c>
      <c r="D43" s="44" t="s">
        <v>201</v>
      </c>
      <c r="E43" s="44" t="s">
        <v>201</v>
      </c>
      <c r="F43" s="44" t="s">
        <v>201</v>
      </c>
      <c r="G43" s="44" t="s">
        <v>201</v>
      </c>
      <c r="H43" s="44" t="s">
        <v>201</v>
      </c>
      <c r="I43" s="44" t="s">
        <v>201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4"/>
      <c r="AX43" s="44"/>
      <c r="AY43" s="44"/>
      <c r="AZ43" s="53">
        <v>46244</v>
      </c>
      <c r="BA43" s="62" t="s">
        <v>201</v>
      </c>
      <c r="BB43" s="63" t="s">
        <v>201</v>
      </c>
      <c r="BC43" s="63" t="s">
        <v>201</v>
      </c>
      <c r="BD43" s="63" t="s">
        <v>201</v>
      </c>
      <c r="BE43" s="63" t="s">
        <v>201</v>
      </c>
      <c r="BF43" s="63" t="s">
        <v>201</v>
      </c>
    </row>
    <row r="44" spans="1:58">
      <c r="A44" s="46" t="s">
        <v>201</v>
      </c>
      <c r="B44" s="44" t="s">
        <v>201</v>
      </c>
      <c r="C44" s="44" t="s">
        <v>201</v>
      </c>
      <c r="D44" s="44" t="s">
        <v>201</v>
      </c>
      <c r="E44" s="44" t="s">
        <v>201</v>
      </c>
      <c r="F44" s="44" t="s">
        <v>201</v>
      </c>
      <c r="G44" s="44" t="s">
        <v>201</v>
      </c>
      <c r="H44" s="44" t="s">
        <v>201</v>
      </c>
      <c r="I44" s="44" t="s">
        <v>201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44"/>
      <c r="AY44" s="44"/>
      <c r="AZ44" s="54">
        <v>46245</v>
      </c>
      <c r="BA44" s="60" t="s">
        <v>201</v>
      </c>
      <c r="BB44" s="61" t="s">
        <v>201</v>
      </c>
      <c r="BC44" s="61" t="s">
        <v>201</v>
      </c>
      <c r="BD44" s="61" t="s">
        <v>201</v>
      </c>
      <c r="BE44" s="61" t="s">
        <v>201</v>
      </c>
      <c r="BF44" s="61" t="s">
        <v>201</v>
      </c>
    </row>
    <row r="45" spans="1:58">
      <c r="A45" s="46" t="s">
        <v>201</v>
      </c>
      <c r="B45" s="44" t="s">
        <v>201</v>
      </c>
      <c r="C45" s="44" t="s">
        <v>201</v>
      </c>
      <c r="D45" s="44" t="s">
        <v>201</v>
      </c>
      <c r="E45" s="44" t="s">
        <v>201</v>
      </c>
      <c r="F45" s="44" t="s">
        <v>201</v>
      </c>
      <c r="G45" s="44" t="s">
        <v>201</v>
      </c>
      <c r="H45" s="44" t="s">
        <v>201</v>
      </c>
      <c r="I45" s="44" t="s">
        <v>201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53">
        <v>46246</v>
      </c>
      <c r="BA45" s="62" t="s">
        <v>201</v>
      </c>
      <c r="BB45" s="63" t="s">
        <v>201</v>
      </c>
      <c r="BC45" s="63" t="s">
        <v>201</v>
      </c>
      <c r="BD45" s="63" t="s">
        <v>201</v>
      </c>
      <c r="BE45" s="63" t="s">
        <v>201</v>
      </c>
      <c r="BF45" s="63" t="s">
        <v>201</v>
      </c>
    </row>
    <row r="46" spans="1:58">
      <c r="A46" s="46" t="s">
        <v>201</v>
      </c>
      <c r="B46" s="44" t="s">
        <v>201</v>
      </c>
      <c r="C46" s="44" t="s">
        <v>201</v>
      </c>
      <c r="D46" s="44" t="s">
        <v>201</v>
      </c>
      <c r="E46" s="44" t="s">
        <v>201</v>
      </c>
      <c r="F46" s="44" t="s">
        <v>201</v>
      </c>
      <c r="G46" s="44" t="s">
        <v>201</v>
      </c>
      <c r="H46" s="44" t="s">
        <v>201</v>
      </c>
      <c r="I46" s="44" t="s">
        <v>201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/>
      <c r="AX46" s="44"/>
      <c r="AY46" s="44"/>
      <c r="AZ46" s="54">
        <v>46247</v>
      </c>
      <c r="BA46" s="60" t="s">
        <v>201</v>
      </c>
      <c r="BB46" s="61" t="s">
        <v>201</v>
      </c>
      <c r="BC46" s="61" t="s">
        <v>201</v>
      </c>
      <c r="BD46" s="61" t="s">
        <v>201</v>
      </c>
      <c r="BE46" s="61" t="s">
        <v>201</v>
      </c>
      <c r="BF46" s="61" t="s">
        <v>201</v>
      </c>
    </row>
    <row r="47" spans="1:58">
      <c r="A47" s="46" t="s">
        <v>201</v>
      </c>
      <c r="B47" s="44" t="s">
        <v>201</v>
      </c>
      <c r="C47" s="44" t="s">
        <v>201</v>
      </c>
      <c r="D47" s="44" t="s">
        <v>201</v>
      </c>
      <c r="E47" s="44" t="s">
        <v>201</v>
      </c>
      <c r="F47" s="44" t="s">
        <v>201</v>
      </c>
      <c r="G47" s="44" t="s">
        <v>201</v>
      </c>
      <c r="H47" s="44" t="s">
        <v>201</v>
      </c>
      <c r="I47" s="44" t="s">
        <v>201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53">
        <v>46248</v>
      </c>
      <c r="BA47" s="62" t="s">
        <v>201</v>
      </c>
      <c r="BB47" s="63" t="s">
        <v>201</v>
      </c>
      <c r="BC47" s="63" t="s">
        <v>201</v>
      </c>
      <c r="BD47" s="63" t="s">
        <v>201</v>
      </c>
      <c r="BE47" s="63" t="s">
        <v>201</v>
      </c>
      <c r="BF47" s="63" t="s">
        <v>201</v>
      </c>
    </row>
    <row r="48" spans="1:58">
      <c r="A48" s="46" t="s">
        <v>201</v>
      </c>
      <c r="B48" s="44" t="s">
        <v>201</v>
      </c>
      <c r="C48" s="44" t="s">
        <v>201</v>
      </c>
      <c r="D48" s="44" t="s">
        <v>201</v>
      </c>
      <c r="E48" s="44" t="s">
        <v>201</v>
      </c>
      <c r="F48" s="44" t="s">
        <v>201</v>
      </c>
      <c r="G48" s="44" t="s">
        <v>201</v>
      </c>
      <c r="H48" s="44" t="s">
        <v>201</v>
      </c>
      <c r="I48" s="44" t="s">
        <v>201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54">
        <v>46249</v>
      </c>
      <c r="BA48" s="60" t="s">
        <v>201</v>
      </c>
      <c r="BB48" s="61" t="s">
        <v>201</v>
      </c>
      <c r="BC48" s="61" t="s">
        <v>201</v>
      </c>
      <c r="BD48" s="61" t="s">
        <v>201</v>
      </c>
      <c r="BE48" s="61" t="s">
        <v>201</v>
      </c>
      <c r="BF48" s="61" t="s">
        <v>201</v>
      </c>
    </row>
    <row r="49" spans="1:58">
      <c r="A49" s="46" t="s">
        <v>201</v>
      </c>
      <c r="B49" s="44" t="s">
        <v>201</v>
      </c>
      <c r="C49" s="44" t="s">
        <v>201</v>
      </c>
      <c r="D49" s="44" t="s">
        <v>201</v>
      </c>
      <c r="E49" s="44" t="s">
        <v>201</v>
      </c>
      <c r="F49" s="44" t="s">
        <v>201</v>
      </c>
      <c r="G49" s="44" t="s">
        <v>201</v>
      </c>
      <c r="H49" s="44" t="s">
        <v>201</v>
      </c>
      <c r="I49" s="44" t="s">
        <v>201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s="44"/>
      <c r="AV49" s="44"/>
      <c r="AW49" s="44"/>
      <c r="AX49" s="44"/>
      <c r="AY49" s="44"/>
      <c r="AZ49" s="53">
        <v>46250</v>
      </c>
      <c r="BA49" s="62" t="s">
        <v>201</v>
      </c>
      <c r="BB49" s="63" t="s">
        <v>201</v>
      </c>
      <c r="BC49" s="63" t="s">
        <v>201</v>
      </c>
      <c r="BD49" s="63" t="s">
        <v>201</v>
      </c>
      <c r="BE49" s="63" t="s">
        <v>201</v>
      </c>
      <c r="BF49" s="63" t="s">
        <v>201</v>
      </c>
    </row>
    <row r="50" spans="1:58">
      <c r="A50" s="46" t="s">
        <v>201</v>
      </c>
      <c r="B50" s="44" t="s">
        <v>201</v>
      </c>
      <c r="C50" s="44" t="s">
        <v>201</v>
      </c>
      <c r="D50" s="44" t="s">
        <v>201</v>
      </c>
      <c r="E50" s="44" t="s">
        <v>201</v>
      </c>
      <c r="F50" s="44" t="s">
        <v>201</v>
      </c>
      <c r="G50" s="44" t="s">
        <v>201</v>
      </c>
      <c r="H50" s="44" t="s">
        <v>201</v>
      </c>
      <c r="I50" s="44" t="s">
        <v>201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54">
        <v>46251</v>
      </c>
      <c r="BA50" s="60" t="s">
        <v>201</v>
      </c>
      <c r="BB50" s="61" t="s">
        <v>201</v>
      </c>
      <c r="BC50" s="61" t="s">
        <v>201</v>
      </c>
      <c r="BD50" s="61" t="s">
        <v>201</v>
      </c>
      <c r="BE50" s="61" t="s">
        <v>201</v>
      </c>
      <c r="BF50" s="61" t="s">
        <v>201</v>
      </c>
    </row>
    <row r="51" spans="1:58">
      <c r="A51" s="46" t="s">
        <v>201</v>
      </c>
      <c r="B51" s="44" t="s">
        <v>201</v>
      </c>
      <c r="C51" s="44" t="s">
        <v>201</v>
      </c>
      <c r="D51" s="44" t="s">
        <v>201</v>
      </c>
      <c r="E51" s="44" t="s">
        <v>201</v>
      </c>
      <c r="F51" s="44" t="s">
        <v>201</v>
      </c>
      <c r="G51" s="44" t="s">
        <v>201</v>
      </c>
      <c r="H51" s="44" t="s">
        <v>201</v>
      </c>
      <c r="I51" s="44" t="s">
        <v>201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53">
        <v>46252</v>
      </c>
      <c r="BA51" s="62" t="s">
        <v>201</v>
      </c>
      <c r="BB51" s="63" t="s">
        <v>201</v>
      </c>
      <c r="BC51" s="63" t="s">
        <v>201</v>
      </c>
      <c r="BD51" s="63" t="s">
        <v>201</v>
      </c>
      <c r="BE51" s="63" t="s">
        <v>201</v>
      </c>
      <c r="BF51" s="63" t="s">
        <v>201</v>
      </c>
    </row>
    <row r="52" spans="1:58">
      <c r="A52" s="46" t="s">
        <v>201</v>
      </c>
      <c r="B52" s="44" t="s">
        <v>201</v>
      </c>
      <c r="C52" s="44" t="s">
        <v>201</v>
      </c>
      <c r="D52" s="44" t="s">
        <v>201</v>
      </c>
      <c r="E52" s="44" t="s">
        <v>201</v>
      </c>
      <c r="F52" s="44" t="s">
        <v>201</v>
      </c>
      <c r="G52" s="44" t="s">
        <v>201</v>
      </c>
      <c r="H52" s="44" t="s">
        <v>201</v>
      </c>
      <c r="I52" s="44" t="s">
        <v>201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54">
        <v>46253</v>
      </c>
      <c r="BA52" s="60" t="s">
        <v>201</v>
      </c>
      <c r="BB52" s="61" t="s">
        <v>201</v>
      </c>
      <c r="BC52" s="61" t="s">
        <v>201</v>
      </c>
      <c r="BD52" s="61" t="s">
        <v>201</v>
      </c>
      <c r="BE52" s="61" t="s">
        <v>201</v>
      </c>
      <c r="BF52" s="61" t="s">
        <v>201</v>
      </c>
    </row>
    <row r="53" spans="1:58">
      <c r="A53" s="46" t="s">
        <v>201</v>
      </c>
      <c r="B53" s="44" t="s">
        <v>201</v>
      </c>
      <c r="C53" s="44" t="s">
        <v>201</v>
      </c>
      <c r="D53" s="44" t="s">
        <v>201</v>
      </c>
      <c r="E53" s="44" t="s">
        <v>201</v>
      </c>
      <c r="F53" s="44" t="s">
        <v>201</v>
      </c>
      <c r="G53" s="44" t="s">
        <v>201</v>
      </c>
      <c r="H53" s="44" t="s">
        <v>201</v>
      </c>
      <c r="I53" s="44" t="s">
        <v>201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53">
        <v>46254</v>
      </c>
      <c r="BA53" s="62" t="s">
        <v>201</v>
      </c>
      <c r="BB53" s="63" t="s">
        <v>201</v>
      </c>
      <c r="BC53" s="63" t="s">
        <v>201</v>
      </c>
      <c r="BD53" s="63" t="s">
        <v>201</v>
      </c>
      <c r="BE53" s="63" t="s">
        <v>201</v>
      </c>
      <c r="BF53" s="63" t="s">
        <v>201</v>
      </c>
    </row>
    <row r="54" spans="1:58">
      <c r="A54" s="46" t="s">
        <v>201</v>
      </c>
      <c r="B54" s="44" t="s">
        <v>201</v>
      </c>
      <c r="C54" s="44" t="s">
        <v>201</v>
      </c>
      <c r="D54" s="44" t="s">
        <v>201</v>
      </c>
      <c r="E54" s="44" t="s">
        <v>201</v>
      </c>
      <c r="F54" s="44" t="s">
        <v>201</v>
      </c>
      <c r="G54" s="44" t="s">
        <v>201</v>
      </c>
      <c r="H54" s="44" t="s">
        <v>201</v>
      </c>
      <c r="I54" s="44" t="s">
        <v>201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54">
        <v>46255</v>
      </c>
      <c r="BA54" s="60" t="s">
        <v>201</v>
      </c>
      <c r="BB54" s="61" t="s">
        <v>201</v>
      </c>
      <c r="BC54" s="61" t="s">
        <v>201</v>
      </c>
      <c r="BD54" s="61" t="s">
        <v>201</v>
      </c>
      <c r="BE54" s="61" t="s">
        <v>201</v>
      </c>
      <c r="BF54" s="61" t="s">
        <v>201</v>
      </c>
    </row>
    <row r="55" spans="1:58">
      <c r="A55" s="46" t="s">
        <v>201</v>
      </c>
      <c r="B55" s="44" t="s">
        <v>201</v>
      </c>
      <c r="C55" s="44" t="s">
        <v>201</v>
      </c>
      <c r="D55" s="44" t="s">
        <v>201</v>
      </c>
      <c r="E55" s="44" t="s">
        <v>201</v>
      </c>
      <c r="F55" s="44" t="s">
        <v>201</v>
      </c>
      <c r="G55" s="44" t="s">
        <v>201</v>
      </c>
      <c r="H55" s="44" t="s">
        <v>201</v>
      </c>
      <c r="I55" s="44" t="s">
        <v>201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53">
        <v>46256</v>
      </c>
      <c r="BA55" s="62" t="s">
        <v>201</v>
      </c>
      <c r="BB55" s="63" t="s">
        <v>201</v>
      </c>
      <c r="BC55" s="63" t="s">
        <v>201</v>
      </c>
      <c r="BD55" s="63" t="s">
        <v>201</v>
      </c>
      <c r="BE55" s="63" t="s">
        <v>201</v>
      </c>
      <c r="BF55" s="63" t="s">
        <v>201</v>
      </c>
    </row>
    <row r="56" spans="1:58">
      <c r="A56" s="46" t="s">
        <v>201</v>
      </c>
      <c r="B56" s="44" t="s">
        <v>201</v>
      </c>
      <c r="C56" s="44" t="s">
        <v>201</v>
      </c>
      <c r="D56" s="44" t="s">
        <v>201</v>
      </c>
      <c r="E56" s="44" t="s">
        <v>201</v>
      </c>
      <c r="F56" s="44" t="s">
        <v>201</v>
      </c>
      <c r="G56" s="44" t="s">
        <v>201</v>
      </c>
      <c r="H56" s="44" t="s">
        <v>201</v>
      </c>
      <c r="I56" s="44" t="s">
        <v>201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54">
        <v>46257</v>
      </c>
      <c r="BA56" s="60" t="s">
        <v>201</v>
      </c>
      <c r="BB56" s="61" t="s">
        <v>201</v>
      </c>
      <c r="BC56" s="61" t="s">
        <v>201</v>
      </c>
      <c r="BD56" s="61" t="s">
        <v>201</v>
      </c>
      <c r="BE56" s="61" t="s">
        <v>201</v>
      </c>
      <c r="BF56" s="61" t="s">
        <v>201</v>
      </c>
    </row>
    <row r="57" spans="1:58">
      <c r="A57" s="46" t="s">
        <v>201</v>
      </c>
      <c r="B57" s="44" t="s">
        <v>201</v>
      </c>
      <c r="C57" s="44" t="s">
        <v>201</v>
      </c>
      <c r="D57" s="44" t="s">
        <v>201</v>
      </c>
      <c r="E57" s="44" t="s">
        <v>201</v>
      </c>
      <c r="F57" s="44" t="s">
        <v>201</v>
      </c>
      <c r="G57" s="44" t="s">
        <v>201</v>
      </c>
      <c r="H57" s="44" t="s">
        <v>201</v>
      </c>
      <c r="I57" s="44" t="s">
        <v>201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53">
        <v>46258</v>
      </c>
      <c r="BA57" s="62" t="s">
        <v>201</v>
      </c>
      <c r="BB57" s="63" t="s">
        <v>201</v>
      </c>
      <c r="BC57" s="63" t="s">
        <v>201</v>
      </c>
      <c r="BD57" s="63" t="s">
        <v>201</v>
      </c>
      <c r="BE57" s="63" t="s">
        <v>201</v>
      </c>
      <c r="BF57" s="63" t="s">
        <v>201</v>
      </c>
    </row>
    <row r="58" spans="1:58">
      <c r="A58" s="46" t="s">
        <v>201</v>
      </c>
      <c r="B58" s="44" t="s">
        <v>201</v>
      </c>
      <c r="C58" s="44" t="s">
        <v>201</v>
      </c>
      <c r="D58" s="44" t="s">
        <v>201</v>
      </c>
      <c r="E58" s="44" t="s">
        <v>201</v>
      </c>
      <c r="F58" s="44" t="s">
        <v>201</v>
      </c>
      <c r="G58" s="44" t="s">
        <v>201</v>
      </c>
      <c r="H58" s="44" t="s">
        <v>201</v>
      </c>
      <c r="I58" s="44" t="s">
        <v>201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54">
        <v>46259</v>
      </c>
      <c r="BA58" s="60" t="s">
        <v>201</v>
      </c>
      <c r="BB58" s="61" t="s">
        <v>201</v>
      </c>
      <c r="BC58" s="61" t="s">
        <v>201</v>
      </c>
      <c r="BD58" s="61" t="s">
        <v>201</v>
      </c>
      <c r="BE58" s="61" t="s">
        <v>201</v>
      </c>
      <c r="BF58" s="61" t="s">
        <v>201</v>
      </c>
    </row>
    <row r="59" spans="1:58">
      <c r="A59" s="46" t="s">
        <v>201</v>
      </c>
      <c r="B59" s="44" t="s">
        <v>201</v>
      </c>
      <c r="C59" s="44" t="s">
        <v>201</v>
      </c>
      <c r="D59" s="44" t="s">
        <v>201</v>
      </c>
      <c r="E59" s="44" t="s">
        <v>201</v>
      </c>
      <c r="F59" s="44" t="s">
        <v>201</v>
      </c>
      <c r="G59" s="44" t="s">
        <v>201</v>
      </c>
      <c r="H59" s="44" t="s">
        <v>201</v>
      </c>
      <c r="I59" s="44" t="s">
        <v>201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53">
        <v>46260</v>
      </c>
      <c r="BA59" s="62" t="s">
        <v>201</v>
      </c>
      <c r="BB59" s="63" t="s">
        <v>201</v>
      </c>
      <c r="BC59" s="63" t="s">
        <v>201</v>
      </c>
      <c r="BD59" s="63" t="s">
        <v>201</v>
      </c>
      <c r="BE59" s="63" t="s">
        <v>201</v>
      </c>
      <c r="BF59" s="63" t="s">
        <v>201</v>
      </c>
    </row>
    <row r="60" spans="1:58">
      <c r="A60" s="46" t="s">
        <v>201</v>
      </c>
      <c r="B60" s="44" t="s">
        <v>201</v>
      </c>
      <c r="C60" s="44" t="s">
        <v>201</v>
      </c>
      <c r="D60" s="44" t="s">
        <v>201</v>
      </c>
      <c r="E60" s="44" t="s">
        <v>201</v>
      </c>
      <c r="F60" s="44" t="s">
        <v>201</v>
      </c>
      <c r="G60" s="44" t="s">
        <v>201</v>
      </c>
      <c r="H60" s="44" t="s">
        <v>201</v>
      </c>
      <c r="I60" s="44" t="s">
        <v>201</v>
      </c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  <c r="AI60" s="44"/>
      <c r="AJ60" s="44"/>
      <c r="AK60" s="44"/>
      <c r="AL60" s="44"/>
      <c r="AM60" s="44"/>
      <c r="AN60" s="44"/>
      <c r="AO60" s="44"/>
      <c r="AP60" s="44"/>
      <c r="AQ60" s="44"/>
      <c r="AR60" s="44"/>
      <c r="AS60" s="44"/>
      <c r="AT60" s="44"/>
      <c r="AU60" s="44"/>
      <c r="AV60" s="44"/>
      <c r="AW60" s="44"/>
      <c r="AX60" s="44"/>
      <c r="AY60" s="44"/>
      <c r="AZ60" s="54">
        <v>46261</v>
      </c>
      <c r="BA60" s="60" t="s">
        <v>201</v>
      </c>
      <c r="BB60" s="61" t="s">
        <v>201</v>
      </c>
      <c r="BC60" s="61" t="s">
        <v>201</v>
      </c>
      <c r="BD60" s="61" t="s">
        <v>201</v>
      </c>
      <c r="BE60" s="61" t="s">
        <v>201</v>
      </c>
      <c r="BF60" s="61" t="s">
        <v>201</v>
      </c>
    </row>
    <row r="61" spans="1:58">
      <c r="A61" s="46" t="s">
        <v>201</v>
      </c>
      <c r="B61" s="44" t="s">
        <v>201</v>
      </c>
      <c r="C61" s="44" t="s">
        <v>201</v>
      </c>
      <c r="D61" s="44" t="s">
        <v>201</v>
      </c>
      <c r="E61" s="44" t="s">
        <v>201</v>
      </c>
      <c r="F61" s="44" t="s">
        <v>201</v>
      </c>
      <c r="G61" s="44" t="s">
        <v>201</v>
      </c>
      <c r="H61" s="44" t="s">
        <v>201</v>
      </c>
      <c r="I61" s="44" t="s">
        <v>201</v>
      </c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44"/>
      <c r="AS61" s="44"/>
      <c r="AT61" s="44"/>
      <c r="AU61" s="44"/>
      <c r="AV61" s="44"/>
      <c r="AW61" s="44"/>
      <c r="AX61" s="44"/>
      <c r="AY61" s="44"/>
      <c r="AZ61" s="53">
        <v>46262</v>
      </c>
      <c r="BA61" s="62" t="s">
        <v>201</v>
      </c>
      <c r="BB61" s="63" t="s">
        <v>201</v>
      </c>
      <c r="BC61" s="63" t="s">
        <v>201</v>
      </c>
      <c r="BD61" s="63" t="s">
        <v>201</v>
      </c>
      <c r="BE61" s="63" t="s">
        <v>201</v>
      </c>
      <c r="BF61" s="63" t="s">
        <v>201</v>
      </c>
    </row>
    <row r="62" spans="1:58">
      <c r="A62" s="46" t="s">
        <v>201</v>
      </c>
      <c r="B62" s="44" t="s">
        <v>201</v>
      </c>
      <c r="C62" s="44" t="s">
        <v>201</v>
      </c>
      <c r="D62" s="44" t="s">
        <v>201</v>
      </c>
      <c r="E62" s="44" t="s">
        <v>201</v>
      </c>
      <c r="F62" s="44" t="s">
        <v>201</v>
      </c>
      <c r="G62" s="44" t="s">
        <v>201</v>
      </c>
      <c r="H62" s="44" t="s">
        <v>201</v>
      </c>
      <c r="I62" s="44" t="s">
        <v>201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4"/>
      <c r="AJ62" s="44"/>
      <c r="AK62" s="44"/>
      <c r="AL62" s="44"/>
      <c r="AM62" s="44"/>
      <c r="AN62" s="44"/>
      <c r="AO62" s="44"/>
      <c r="AP62" s="44"/>
      <c r="AQ62" s="44"/>
      <c r="AR62" s="44"/>
      <c r="AS62" s="44"/>
      <c r="AT62" s="44"/>
      <c r="AU62" s="44"/>
      <c r="AV62" s="44"/>
      <c r="AW62" s="44"/>
      <c r="AX62" s="44"/>
      <c r="AY62" s="44"/>
      <c r="AZ62" s="54">
        <v>46263</v>
      </c>
      <c r="BA62" s="60" t="s">
        <v>201</v>
      </c>
      <c r="BB62" s="61" t="s">
        <v>201</v>
      </c>
      <c r="BC62" s="61" t="s">
        <v>201</v>
      </c>
      <c r="BD62" s="61" t="s">
        <v>201</v>
      </c>
      <c r="BE62" s="61" t="s">
        <v>201</v>
      </c>
      <c r="BF62" s="61" t="s">
        <v>201</v>
      </c>
    </row>
    <row r="63" spans="1:58">
      <c r="A63" s="46" t="s">
        <v>201</v>
      </c>
      <c r="B63" s="44" t="s">
        <v>201</v>
      </c>
      <c r="C63" s="44" t="s">
        <v>201</v>
      </c>
      <c r="D63" s="44" t="s">
        <v>201</v>
      </c>
      <c r="E63" s="44" t="s">
        <v>201</v>
      </c>
      <c r="F63" s="44" t="s">
        <v>201</v>
      </c>
      <c r="G63" s="44" t="s">
        <v>201</v>
      </c>
      <c r="H63" s="44" t="s">
        <v>201</v>
      </c>
      <c r="I63" s="44" t="s">
        <v>201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44"/>
      <c r="AN63" s="44"/>
      <c r="AO63" s="44"/>
      <c r="AP63" s="44"/>
      <c r="AQ63" s="44"/>
      <c r="AR63" s="44"/>
      <c r="AS63" s="44"/>
      <c r="AT63" s="44"/>
      <c r="AU63" s="44"/>
      <c r="AV63" s="44"/>
      <c r="AW63" s="44"/>
      <c r="AX63" s="44"/>
      <c r="AY63" s="44"/>
      <c r="AZ63" s="53">
        <v>46264</v>
      </c>
      <c r="BA63" s="62" t="s">
        <v>201</v>
      </c>
      <c r="BB63" s="63" t="s">
        <v>201</v>
      </c>
      <c r="BC63" s="63" t="s">
        <v>201</v>
      </c>
      <c r="BD63" s="63" t="s">
        <v>201</v>
      </c>
      <c r="BE63" s="63" t="s">
        <v>201</v>
      </c>
      <c r="BF63" s="63" t="s">
        <v>201</v>
      </c>
    </row>
    <row r="64" spans="1:58">
      <c r="A64" s="46" t="s">
        <v>201</v>
      </c>
      <c r="B64" s="44" t="s">
        <v>201</v>
      </c>
      <c r="C64" s="44" t="s">
        <v>201</v>
      </c>
      <c r="D64" s="44" t="s">
        <v>201</v>
      </c>
      <c r="E64" s="44" t="s">
        <v>201</v>
      </c>
      <c r="F64" s="44" t="s">
        <v>201</v>
      </c>
      <c r="G64" s="44" t="s">
        <v>201</v>
      </c>
      <c r="H64" s="44" t="s">
        <v>201</v>
      </c>
      <c r="I64" s="44" t="s">
        <v>201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  <c r="AI64" s="44"/>
      <c r="AJ64" s="44"/>
      <c r="AK64" s="44"/>
      <c r="AL64" s="44"/>
      <c r="AM64" s="44"/>
      <c r="AN64" s="44"/>
      <c r="AO64" s="44"/>
      <c r="AP64" s="44"/>
      <c r="AQ64" s="44"/>
      <c r="AR64" s="44"/>
      <c r="AS64" s="44"/>
      <c r="AT64" s="44"/>
      <c r="AU64" s="44"/>
      <c r="AV64" s="44"/>
      <c r="AW64" s="44"/>
      <c r="AX64" s="44"/>
      <c r="AY64" s="44"/>
      <c r="AZ64" s="54">
        <v>46265</v>
      </c>
      <c r="BA64" s="60" t="s">
        <v>201</v>
      </c>
      <c r="BB64" s="61" t="s">
        <v>201</v>
      </c>
      <c r="BC64" s="61" t="s">
        <v>201</v>
      </c>
      <c r="BD64" s="61" t="s">
        <v>201</v>
      </c>
      <c r="BE64" s="61" t="s">
        <v>201</v>
      </c>
      <c r="BF64" s="61" t="s">
        <v>201</v>
      </c>
    </row>
    <row r="65" spans="1:58">
      <c r="A65" s="46" t="s">
        <v>201</v>
      </c>
      <c r="B65" s="44" t="s">
        <v>201</v>
      </c>
      <c r="C65" s="44" t="s">
        <v>201</v>
      </c>
      <c r="D65" s="44" t="s">
        <v>201</v>
      </c>
      <c r="E65" s="44" t="s">
        <v>201</v>
      </c>
      <c r="F65" s="44" t="s">
        <v>201</v>
      </c>
      <c r="G65" s="44" t="s">
        <v>201</v>
      </c>
      <c r="H65" s="44" t="s">
        <v>201</v>
      </c>
      <c r="I65" s="44" t="s">
        <v>201</v>
      </c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  <c r="AJ65" s="44"/>
      <c r="AK65" s="44"/>
      <c r="AL65" s="44"/>
      <c r="AM65" s="44"/>
      <c r="AN65" s="44"/>
      <c r="AO65" s="44"/>
      <c r="AP65" s="44"/>
      <c r="AQ65" s="44"/>
      <c r="AR65" s="44"/>
      <c r="AS65" s="44"/>
      <c r="AT65" s="44"/>
      <c r="AU65" s="44"/>
      <c r="AV65" s="44"/>
      <c r="AW65" s="44"/>
      <c r="AX65" s="44"/>
      <c r="AY65" s="44"/>
      <c r="AZ65" s="53">
        <v>46266</v>
      </c>
      <c r="BA65" s="62" t="s">
        <v>201</v>
      </c>
      <c r="BB65" s="63" t="s">
        <v>201</v>
      </c>
      <c r="BC65" s="63" t="s">
        <v>201</v>
      </c>
      <c r="BD65" s="63" t="s">
        <v>201</v>
      </c>
      <c r="BE65" s="63" t="s">
        <v>201</v>
      </c>
      <c r="BF65" s="63" t="s">
        <v>201</v>
      </c>
    </row>
    <row r="66" spans="1:58">
      <c r="A66" s="46" t="s">
        <v>201</v>
      </c>
      <c r="B66" s="44" t="s">
        <v>201</v>
      </c>
      <c r="C66" s="44" t="s">
        <v>201</v>
      </c>
      <c r="D66" s="44" t="s">
        <v>201</v>
      </c>
      <c r="E66" s="44" t="s">
        <v>201</v>
      </c>
      <c r="F66" s="44" t="s">
        <v>201</v>
      </c>
      <c r="G66" s="44" t="s">
        <v>201</v>
      </c>
      <c r="H66" s="44" t="s">
        <v>201</v>
      </c>
      <c r="I66" s="44" t="s">
        <v>201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  <c r="AH66" s="44"/>
      <c r="AI66" s="44"/>
      <c r="AJ66" s="44"/>
      <c r="AK66" s="44"/>
      <c r="AL66" s="44"/>
      <c r="AM66" s="44"/>
      <c r="AN66" s="44"/>
      <c r="AO66" s="44"/>
      <c r="AP66" s="44"/>
      <c r="AQ66" s="44"/>
      <c r="AR66" s="44"/>
      <c r="AS66" s="44"/>
      <c r="AT66" s="44"/>
      <c r="AU66" s="44"/>
      <c r="AV66" s="44"/>
      <c r="AW66" s="44"/>
      <c r="AX66" s="44"/>
      <c r="AY66" s="44"/>
      <c r="AZ66" s="54">
        <v>46267</v>
      </c>
      <c r="BA66" s="60" t="s">
        <v>201</v>
      </c>
      <c r="BB66" s="61" t="s">
        <v>201</v>
      </c>
      <c r="BC66" s="61" t="s">
        <v>201</v>
      </c>
      <c r="BD66" s="61" t="s">
        <v>201</v>
      </c>
      <c r="BE66" s="61" t="s">
        <v>201</v>
      </c>
      <c r="BF66" s="61" t="s">
        <v>201</v>
      </c>
    </row>
    <row r="67" spans="1:58">
      <c r="A67" s="46" t="s">
        <v>201</v>
      </c>
      <c r="B67" s="44" t="s">
        <v>201</v>
      </c>
      <c r="C67" s="44" t="s">
        <v>201</v>
      </c>
      <c r="D67" s="44" t="s">
        <v>201</v>
      </c>
      <c r="E67" s="44" t="s">
        <v>201</v>
      </c>
      <c r="F67" s="44" t="s">
        <v>201</v>
      </c>
      <c r="G67" s="44" t="s">
        <v>201</v>
      </c>
      <c r="H67" s="44" t="s">
        <v>201</v>
      </c>
      <c r="I67" s="44" t="s">
        <v>201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4"/>
      <c r="AI67" s="44"/>
      <c r="AJ67" s="44"/>
      <c r="AK67" s="44"/>
      <c r="AL67" s="44"/>
      <c r="AM67" s="44"/>
      <c r="AN67" s="44"/>
      <c r="AO67" s="44"/>
      <c r="AP67" s="44"/>
      <c r="AQ67" s="44"/>
      <c r="AR67" s="44"/>
      <c r="AS67" s="44"/>
      <c r="AT67" s="44"/>
      <c r="AU67" s="44"/>
      <c r="AV67" s="44"/>
      <c r="AW67" s="44"/>
      <c r="AX67" s="44"/>
      <c r="AY67" s="44"/>
      <c r="AZ67" s="53">
        <v>46268</v>
      </c>
      <c r="BA67" s="62" t="s">
        <v>201</v>
      </c>
      <c r="BB67" s="63" t="s">
        <v>201</v>
      </c>
      <c r="BC67" s="63" t="s">
        <v>201</v>
      </c>
      <c r="BD67" s="63" t="s">
        <v>201</v>
      </c>
      <c r="BE67" s="63" t="s">
        <v>201</v>
      </c>
      <c r="BF67" s="63" t="s">
        <v>201</v>
      </c>
    </row>
    <row r="68" spans="1:58">
      <c r="A68" s="46" t="s">
        <v>201</v>
      </c>
      <c r="B68" s="44" t="s">
        <v>201</v>
      </c>
      <c r="C68" s="44" t="s">
        <v>201</v>
      </c>
      <c r="D68" s="44" t="s">
        <v>201</v>
      </c>
      <c r="E68" s="44" t="s">
        <v>201</v>
      </c>
      <c r="F68" s="44" t="s">
        <v>201</v>
      </c>
      <c r="G68" s="44" t="s">
        <v>201</v>
      </c>
      <c r="H68" s="44" t="s">
        <v>201</v>
      </c>
      <c r="I68" s="44" t="s">
        <v>201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  <c r="AJ68" s="44"/>
      <c r="AK68" s="44"/>
      <c r="AL68" s="44"/>
      <c r="AM68" s="44"/>
      <c r="AN68" s="44"/>
      <c r="AO68" s="44"/>
      <c r="AP68" s="44"/>
      <c r="AQ68" s="44"/>
      <c r="AR68" s="44"/>
      <c r="AS68" s="44"/>
      <c r="AT68" s="44"/>
      <c r="AU68" s="44"/>
      <c r="AV68" s="44"/>
      <c r="AW68" s="44"/>
      <c r="AX68" s="44"/>
      <c r="AY68" s="44"/>
      <c r="AZ68" s="54">
        <v>46269</v>
      </c>
      <c r="BA68" s="60" t="s">
        <v>201</v>
      </c>
      <c r="BB68" s="61" t="s">
        <v>201</v>
      </c>
      <c r="BC68" s="61" t="s">
        <v>201</v>
      </c>
      <c r="BD68" s="61" t="s">
        <v>201</v>
      </c>
      <c r="BE68" s="61" t="s">
        <v>201</v>
      </c>
      <c r="BF68" s="61" t="s">
        <v>201</v>
      </c>
    </row>
    <row r="69" spans="1:58">
      <c r="A69" s="46" t="s">
        <v>201</v>
      </c>
      <c r="B69" s="44" t="s">
        <v>201</v>
      </c>
      <c r="C69" s="44" t="s">
        <v>201</v>
      </c>
      <c r="D69" s="44" t="s">
        <v>201</v>
      </c>
      <c r="E69" s="44" t="s">
        <v>201</v>
      </c>
      <c r="F69" s="44" t="s">
        <v>201</v>
      </c>
      <c r="G69" s="44" t="s">
        <v>201</v>
      </c>
      <c r="H69" s="44" t="s">
        <v>201</v>
      </c>
      <c r="I69" s="44" t="s">
        <v>201</v>
      </c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4"/>
      <c r="AJ69" s="44"/>
      <c r="AK69" s="44"/>
      <c r="AL69" s="44"/>
      <c r="AM69" s="44"/>
      <c r="AN69" s="44"/>
      <c r="AO69" s="44"/>
      <c r="AP69" s="44"/>
      <c r="AQ69" s="44"/>
      <c r="AR69" s="44"/>
      <c r="AS69" s="44"/>
      <c r="AT69" s="44"/>
      <c r="AU69" s="44"/>
      <c r="AV69" s="44"/>
      <c r="AW69" s="44"/>
      <c r="AX69" s="44"/>
      <c r="AY69" s="44"/>
      <c r="AZ69" s="53">
        <v>46270</v>
      </c>
      <c r="BA69" s="62" t="s">
        <v>201</v>
      </c>
      <c r="BB69" s="63" t="s">
        <v>201</v>
      </c>
      <c r="BC69" s="63" t="s">
        <v>201</v>
      </c>
      <c r="BD69" s="63" t="s">
        <v>201</v>
      </c>
      <c r="BE69" s="63" t="s">
        <v>201</v>
      </c>
      <c r="BF69" s="63" t="s">
        <v>201</v>
      </c>
    </row>
    <row r="70" spans="1:58">
      <c r="A70" s="46" t="s">
        <v>201</v>
      </c>
      <c r="B70" s="44" t="s">
        <v>201</v>
      </c>
      <c r="C70" s="44" t="s">
        <v>201</v>
      </c>
      <c r="D70" s="44" t="s">
        <v>201</v>
      </c>
      <c r="E70" s="44" t="s">
        <v>201</v>
      </c>
      <c r="F70" s="44" t="s">
        <v>201</v>
      </c>
      <c r="G70" s="44" t="s">
        <v>201</v>
      </c>
      <c r="H70" s="44" t="s">
        <v>201</v>
      </c>
      <c r="I70" s="44" t="s">
        <v>201</v>
      </c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  <c r="AJ70" s="44"/>
      <c r="AK70" s="44"/>
      <c r="AL70" s="44"/>
      <c r="AM70" s="44"/>
      <c r="AN70" s="44"/>
      <c r="AO70" s="44"/>
      <c r="AP70" s="44"/>
      <c r="AQ70" s="44"/>
      <c r="AR70" s="44"/>
      <c r="AS70" s="44"/>
      <c r="AT70" s="44"/>
      <c r="AU70" s="44"/>
      <c r="AV70" s="44"/>
      <c r="AW70" s="44"/>
      <c r="AX70" s="44"/>
      <c r="AY70" s="44"/>
      <c r="AZ70" s="54">
        <v>46271</v>
      </c>
      <c r="BA70" s="60" t="s">
        <v>201</v>
      </c>
      <c r="BB70" s="61" t="s">
        <v>201</v>
      </c>
      <c r="BC70" s="61" t="s">
        <v>201</v>
      </c>
      <c r="BD70" s="61" t="s">
        <v>201</v>
      </c>
      <c r="BE70" s="61" t="s">
        <v>201</v>
      </c>
      <c r="BF70" s="61" t="s">
        <v>201</v>
      </c>
    </row>
    <row r="71" spans="1:58">
      <c r="A71" s="46" t="s">
        <v>201</v>
      </c>
      <c r="B71" s="44" t="s">
        <v>201</v>
      </c>
      <c r="C71" s="44" t="s">
        <v>201</v>
      </c>
      <c r="D71" s="44" t="s">
        <v>201</v>
      </c>
      <c r="E71" s="44" t="s">
        <v>201</v>
      </c>
      <c r="F71" s="44" t="s">
        <v>201</v>
      </c>
      <c r="G71" s="44" t="s">
        <v>201</v>
      </c>
      <c r="H71" s="44" t="s">
        <v>201</v>
      </c>
      <c r="I71" s="44" t="s">
        <v>201</v>
      </c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44"/>
      <c r="AT71" s="44"/>
      <c r="AU71" s="44"/>
      <c r="AV71" s="44"/>
      <c r="AW71" s="44"/>
      <c r="AX71" s="44"/>
      <c r="AY71" s="44"/>
      <c r="AZ71" s="53">
        <v>46272</v>
      </c>
      <c r="BA71" s="62" t="s">
        <v>201</v>
      </c>
      <c r="BB71" s="63" t="s">
        <v>201</v>
      </c>
      <c r="BC71" s="63" t="s">
        <v>201</v>
      </c>
      <c r="BD71" s="63" t="s">
        <v>201</v>
      </c>
      <c r="BE71" s="63" t="s">
        <v>201</v>
      </c>
      <c r="BF71" s="63" t="s">
        <v>201</v>
      </c>
    </row>
    <row r="72" spans="1:58">
      <c r="A72" s="46" t="s">
        <v>201</v>
      </c>
      <c r="B72" s="44" t="s">
        <v>201</v>
      </c>
      <c r="C72" s="44" t="s">
        <v>201</v>
      </c>
      <c r="D72" s="44" t="s">
        <v>201</v>
      </c>
      <c r="E72" s="44" t="s">
        <v>201</v>
      </c>
      <c r="F72" s="44" t="s">
        <v>201</v>
      </c>
      <c r="G72" s="44" t="s">
        <v>201</v>
      </c>
      <c r="H72" s="44" t="s">
        <v>201</v>
      </c>
      <c r="I72" s="44" t="s">
        <v>201</v>
      </c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  <c r="AJ72" s="44"/>
      <c r="AK72" s="44"/>
      <c r="AL72" s="44"/>
      <c r="AM72" s="44"/>
      <c r="AN72" s="44"/>
      <c r="AO72" s="44"/>
      <c r="AP72" s="44"/>
      <c r="AQ72" s="44"/>
      <c r="AR72" s="44"/>
      <c r="AS72" s="44"/>
      <c r="AT72" s="44"/>
      <c r="AU72" s="44"/>
      <c r="AV72" s="44"/>
      <c r="AW72" s="44"/>
      <c r="AX72" s="44"/>
      <c r="AY72" s="44"/>
      <c r="AZ72" s="54">
        <v>46273</v>
      </c>
      <c r="BA72" s="60" t="s">
        <v>201</v>
      </c>
      <c r="BB72" s="61" t="s">
        <v>201</v>
      </c>
      <c r="BC72" s="61" t="s">
        <v>201</v>
      </c>
      <c r="BD72" s="61" t="s">
        <v>201</v>
      </c>
      <c r="BE72" s="61" t="s">
        <v>201</v>
      </c>
      <c r="BF72" s="61" t="s">
        <v>201</v>
      </c>
    </row>
    <row r="73" spans="1:58">
      <c r="A73" s="46" t="s">
        <v>201</v>
      </c>
      <c r="B73" s="44" t="s">
        <v>201</v>
      </c>
      <c r="C73" s="44" t="s">
        <v>201</v>
      </c>
      <c r="D73" s="44" t="s">
        <v>201</v>
      </c>
      <c r="E73" s="44" t="s">
        <v>201</v>
      </c>
      <c r="F73" s="44" t="s">
        <v>201</v>
      </c>
      <c r="G73" s="44" t="s">
        <v>201</v>
      </c>
      <c r="H73" s="44" t="s">
        <v>201</v>
      </c>
      <c r="I73" s="44" t="s">
        <v>201</v>
      </c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4"/>
      <c r="AP73" s="44"/>
      <c r="AQ73" s="44"/>
      <c r="AR73" s="44"/>
      <c r="AS73" s="44"/>
      <c r="AT73" s="44"/>
      <c r="AU73" s="44"/>
      <c r="AV73" s="44"/>
      <c r="AW73" s="44"/>
      <c r="AX73" s="44"/>
      <c r="AY73" s="44"/>
      <c r="AZ73" s="53">
        <v>46274</v>
      </c>
      <c r="BA73" s="62" t="s">
        <v>201</v>
      </c>
      <c r="BB73" s="63" t="s">
        <v>201</v>
      </c>
      <c r="BC73" s="63" t="s">
        <v>201</v>
      </c>
      <c r="BD73" s="63" t="s">
        <v>201</v>
      </c>
      <c r="BE73" s="63" t="s">
        <v>201</v>
      </c>
      <c r="BF73" s="63" t="s">
        <v>201</v>
      </c>
    </row>
    <row r="74" spans="1:58">
      <c r="A74" s="46" t="s">
        <v>201</v>
      </c>
      <c r="B74" s="44" t="s">
        <v>201</v>
      </c>
      <c r="C74" s="44" t="s">
        <v>201</v>
      </c>
      <c r="D74" s="44" t="s">
        <v>201</v>
      </c>
      <c r="E74" s="44" t="s">
        <v>201</v>
      </c>
      <c r="F74" s="44" t="s">
        <v>201</v>
      </c>
      <c r="G74" s="44" t="s">
        <v>201</v>
      </c>
      <c r="H74" s="44" t="s">
        <v>201</v>
      </c>
      <c r="I74" s="44" t="s">
        <v>201</v>
      </c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44"/>
      <c r="AH74" s="44"/>
      <c r="AI74" s="44"/>
      <c r="AJ74" s="44"/>
      <c r="AK74" s="44"/>
      <c r="AL74" s="44"/>
      <c r="AM74" s="44"/>
      <c r="AN74" s="44"/>
      <c r="AO74" s="44"/>
      <c r="AP74" s="44"/>
      <c r="AQ74" s="44"/>
      <c r="AR74" s="44"/>
      <c r="AS74" s="44"/>
      <c r="AT74" s="44"/>
      <c r="AU74" s="44"/>
      <c r="AV74" s="44"/>
      <c r="AW74" s="44"/>
      <c r="AX74" s="44"/>
      <c r="AY74" s="44"/>
      <c r="AZ74" s="54">
        <v>46275</v>
      </c>
      <c r="BA74" s="60" t="s">
        <v>201</v>
      </c>
      <c r="BB74" s="61" t="s">
        <v>201</v>
      </c>
      <c r="BC74" s="61" t="s">
        <v>201</v>
      </c>
      <c r="BD74" s="61" t="s">
        <v>201</v>
      </c>
      <c r="BE74" s="61" t="s">
        <v>201</v>
      </c>
      <c r="BF74" s="61" t="s">
        <v>201</v>
      </c>
    </row>
    <row r="75" spans="1:58">
      <c r="A75" s="46" t="s">
        <v>201</v>
      </c>
      <c r="B75" s="44" t="s">
        <v>201</v>
      </c>
      <c r="C75" s="44" t="s">
        <v>201</v>
      </c>
      <c r="D75" s="44" t="s">
        <v>201</v>
      </c>
      <c r="E75" s="44" t="s">
        <v>201</v>
      </c>
      <c r="F75" s="44" t="s">
        <v>201</v>
      </c>
      <c r="G75" s="44" t="s">
        <v>201</v>
      </c>
      <c r="H75" s="44" t="s">
        <v>201</v>
      </c>
      <c r="I75" s="44" t="s">
        <v>201</v>
      </c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44"/>
      <c r="AH75" s="44"/>
      <c r="AI75" s="44"/>
      <c r="AJ75" s="44"/>
      <c r="AK75" s="44"/>
      <c r="AL75" s="44"/>
      <c r="AM75" s="44"/>
      <c r="AN75" s="44"/>
      <c r="AO75" s="44"/>
      <c r="AP75" s="44"/>
      <c r="AQ75" s="44"/>
      <c r="AR75" s="44"/>
      <c r="AS75" s="44"/>
      <c r="AT75" s="44"/>
      <c r="AU75" s="44"/>
      <c r="AV75" s="44"/>
      <c r="AW75" s="44"/>
      <c r="AX75" s="44"/>
      <c r="AY75" s="44"/>
      <c r="AZ75" s="53">
        <v>46276</v>
      </c>
      <c r="BA75" s="62" t="s">
        <v>201</v>
      </c>
      <c r="BB75" s="63" t="s">
        <v>201</v>
      </c>
      <c r="BC75" s="63" t="s">
        <v>201</v>
      </c>
      <c r="BD75" s="63" t="s">
        <v>201</v>
      </c>
      <c r="BE75" s="63" t="s">
        <v>201</v>
      </c>
      <c r="BF75" s="63" t="s">
        <v>201</v>
      </c>
    </row>
    <row r="76" spans="1:58">
      <c r="A76" s="46" t="s">
        <v>201</v>
      </c>
      <c r="B76" s="44" t="s">
        <v>201</v>
      </c>
      <c r="C76" s="44" t="s">
        <v>201</v>
      </c>
      <c r="D76" s="44" t="s">
        <v>201</v>
      </c>
      <c r="E76" s="44" t="s">
        <v>201</v>
      </c>
      <c r="F76" s="44" t="s">
        <v>201</v>
      </c>
      <c r="G76" s="44" t="s">
        <v>201</v>
      </c>
      <c r="H76" s="44" t="s">
        <v>201</v>
      </c>
      <c r="I76" s="44" t="s">
        <v>201</v>
      </c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4"/>
      <c r="AH76" s="44"/>
      <c r="AI76" s="44"/>
      <c r="AJ76" s="44"/>
      <c r="AK76" s="44"/>
      <c r="AL76" s="44"/>
      <c r="AM76" s="44"/>
      <c r="AN76" s="44"/>
      <c r="AO76" s="44"/>
      <c r="AP76" s="44"/>
      <c r="AQ76" s="44"/>
      <c r="AR76" s="44"/>
      <c r="AS76" s="44"/>
      <c r="AT76" s="44"/>
      <c r="AU76" s="44"/>
      <c r="AV76" s="44"/>
      <c r="AW76" s="44"/>
      <c r="AX76" s="44"/>
      <c r="AY76" s="44"/>
      <c r="AZ76" s="54">
        <v>46277</v>
      </c>
      <c r="BA76" s="60" t="s">
        <v>201</v>
      </c>
      <c r="BB76" s="61" t="s">
        <v>201</v>
      </c>
      <c r="BC76" s="61" t="s">
        <v>201</v>
      </c>
      <c r="BD76" s="61" t="s">
        <v>201</v>
      </c>
      <c r="BE76" s="61" t="s">
        <v>201</v>
      </c>
      <c r="BF76" s="61" t="s">
        <v>201</v>
      </c>
    </row>
    <row r="77" spans="1:58">
      <c r="A77" s="46" t="s">
        <v>201</v>
      </c>
      <c r="B77" s="44" t="s">
        <v>201</v>
      </c>
      <c r="C77" s="44" t="s">
        <v>201</v>
      </c>
      <c r="D77" s="44" t="s">
        <v>201</v>
      </c>
      <c r="E77" s="44" t="s">
        <v>201</v>
      </c>
      <c r="F77" s="44" t="s">
        <v>201</v>
      </c>
      <c r="G77" s="44" t="s">
        <v>201</v>
      </c>
      <c r="H77" s="44" t="s">
        <v>201</v>
      </c>
      <c r="I77" s="44" t="s">
        <v>201</v>
      </c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  <c r="AG77" s="44"/>
      <c r="AH77" s="44"/>
      <c r="AI77" s="44"/>
      <c r="AJ77" s="44"/>
      <c r="AK77" s="44"/>
      <c r="AL77" s="44"/>
      <c r="AM77" s="44"/>
      <c r="AN77" s="44"/>
      <c r="AO77" s="44"/>
      <c r="AP77" s="44"/>
      <c r="AQ77" s="44"/>
      <c r="AR77" s="44"/>
      <c r="AS77" s="44"/>
      <c r="AT77" s="44"/>
      <c r="AU77" s="44"/>
      <c r="AV77" s="44"/>
      <c r="AW77" s="44"/>
      <c r="AX77" s="44"/>
      <c r="AY77" s="44"/>
      <c r="AZ77" s="53">
        <v>46278</v>
      </c>
      <c r="BA77" s="62" t="s">
        <v>201</v>
      </c>
      <c r="BB77" s="63" t="s">
        <v>201</v>
      </c>
      <c r="BC77" s="63" t="s">
        <v>201</v>
      </c>
      <c r="BD77" s="63" t="s">
        <v>201</v>
      </c>
      <c r="BE77" s="63" t="s">
        <v>201</v>
      </c>
      <c r="BF77" s="63" t="s">
        <v>201</v>
      </c>
    </row>
    <row r="78" spans="1:58">
      <c r="A78" s="46" t="s">
        <v>201</v>
      </c>
      <c r="B78" s="44" t="s">
        <v>201</v>
      </c>
      <c r="C78" s="44" t="s">
        <v>201</v>
      </c>
      <c r="D78" s="44" t="s">
        <v>201</v>
      </c>
      <c r="E78" s="44" t="s">
        <v>201</v>
      </c>
      <c r="F78" s="44" t="s">
        <v>201</v>
      </c>
      <c r="G78" s="44" t="s">
        <v>201</v>
      </c>
      <c r="H78" s="44" t="s">
        <v>201</v>
      </c>
      <c r="I78" s="44" t="s">
        <v>201</v>
      </c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4"/>
      <c r="AG78" s="44"/>
      <c r="AH78" s="44"/>
      <c r="AI78" s="44"/>
      <c r="AJ78" s="44"/>
      <c r="AK78" s="44"/>
      <c r="AL78" s="44"/>
      <c r="AM78" s="44"/>
      <c r="AN78" s="44"/>
      <c r="AO78" s="44"/>
      <c r="AP78" s="44"/>
      <c r="AQ78" s="44"/>
      <c r="AR78" s="44"/>
      <c r="AS78" s="44"/>
      <c r="AT78" s="44"/>
      <c r="AU78" s="44"/>
      <c r="AV78" s="44"/>
      <c r="AW78" s="44"/>
      <c r="AX78" s="44"/>
      <c r="AY78" s="44"/>
      <c r="AZ78" s="54">
        <v>46279</v>
      </c>
      <c r="BA78" s="60" t="s">
        <v>201</v>
      </c>
      <c r="BB78" s="61" t="s">
        <v>201</v>
      </c>
      <c r="BC78" s="61" t="s">
        <v>201</v>
      </c>
      <c r="BD78" s="61" t="s">
        <v>201</v>
      </c>
      <c r="BE78" s="61" t="s">
        <v>201</v>
      </c>
      <c r="BF78" s="61" t="s">
        <v>201</v>
      </c>
    </row>
    <row r="79" spans="1:58">
      <c r="A79" s="46" t="s">
        <v>201</v>
      </c>
      <c r="B79" s="44" t="s">
        <v>201</v>
      </c>
      <c r="C79" s="44" t="s">
        <v>201</v>
      </c>
      <c r="D79" s="44" t="s">
        <v>201</v>
      </c>
      <c r="E79" s="44" t="s">
        <v>201</v>
      </c>
      <c r="F79" s="44" t="s">
        <v>201</v>
      </c>
      <c r="G79" s="44" t="s">
        <v>201</v>
      </c>
      <c r="H79" s="44" t="s">
        <v>201</v>
      </c>
      <c r="I79" s="44" t="s">
        <v>201</v>
      </c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44"/>
      <c r="AH79" s="44"/>
      <c r="AI79" s="44"/>
      <c r="AJ79" s="44"/>
      <c r="AK79" s="44"/>
      <c r="AL79" s="44"/>
      <c r="AM79" s="44"/>
      <c r="AN79" s="44"/>
      <c r="AO79" s="44"/>
      <c r="AP79" s="44"/>
      <c r="AQ79" s="44"/>
      <c r="AR79" s="44"/>
      <c r="AS79" s="44"/>
      <c r="AT79" s="44"/>
      <c r="AU79" s="44"/>
      <c r="AV79" s="44"/>
      <c r="AW79" s="44"/>
      <c r="AX79" s="44"/>
      <c r="AY79" s="44"/>
      <c r="AZ79" s="53">
        <v>46280</v>
      </c>
      <c r="BA79" s="62" t="s">
        <v>201</v>
      </c>
      <c r="BB79" s="63" t="s">
        <v>201</v>
      </c>
      <c r="BC79" s="63" t="s">
        <v>201</v>
      </c>
      <c r="BD79" s="63" t="s">
        <v>201</v>
      </c>
      <c r="BE79" s="63" t="s">
        <v>201</v>
      </c>
      <c r="BF79" s="63" t="s">
        <v>201</v>
      </c>
    </row>
    <row r="80" spans="1:58">
      <c r="A80" s="46" t="s">
        <v>201</v>
      </c>
      <c r="B80" s="44" t="s">
        <v>201</v>
      </c>
      <c r="C80" s="44" t="s">
        <v>201</v>
      </c>
      <c r="D80" s="44" t="s">
        <v>201</v>
      </c>
      <c r="E80" s="44" t="s">
        <v>201</v>
      </c>
      <c r="F80" s="44" t="s">
        <v>201</v>
      </c>
      <c r="G80" s="44" t="s">
        <v>201</v>
      </c>
      <c r="H80" s="44" t="s">
        <v>201</v>
      </c>
      <c r="I80" s="44" t="s">
        <v>201</v>
      </c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4"/>
      <c r="AG80" s="44"/>
      <c r="AH80" s="44"/>
      <c r="AI80" s="44"/>
      <c r="AJ80" s="44"/>
      <c r="AK80" s="44"/>
      <c r="AL80" s="44"/>
      <c r="AM80" s="44"/>
      <c r="AN80" s="44"/>
      <c r="AO80" s="44"/>
      <c r="AP80" s="44"/>
      <c r="AQ80" s="44"/>
      <c r="AR80" s="44"/>
      <c r="AS80" s="44"/>
      <c r="AT80" s="44"/>
      <c r="AU80" s="44"/>
      <c r="AV80" s="44"/>
      <c r="AW80" s="44"/>
      <c r="AX80" s="44"/>
      <c r="AY80" s="44"/>
      <c r="AZ80" s="54">
        <v>46281</v>
      </c>
      <c r="BA80" s="60" t="s">
        <v>201</v>
      </c>
      <c r="BB80" s="61" t="s">
        <v>201</v>
      </c>
      <c r="BC80" s="61" t="s">
        <v>201</v>
      </c>
      <c r="BD80" s="61" t="s">
        <v>201</v>
      </c>
      <c r="BE80" s="61" t="s">
        <v>201</v>
      </c>
      <c r="BF80" s="61" t="s">
        <v>201</v>
      </c>
    </row>
    <row r="81" spans="1:58">
      <c r="A81" s="46" t="s">
        <v>201</v>
      </c>
      <c r="B81" s="44" t="s">
        <v>201</v>
      </c>
      <c r="C81" s="44" t="s">
        <v>201</v>
      </c>
      <c r="D81" s="44" t="s">
        <v>201</v>
      </c>
      <c r="E81" s="44" t="s">
        <v>201</v>
      </c>
      <c r="F81" s="44" t="s">
        <v>201</v>
      </c>
      <c r="G81" s="44" t="s">
        <v>201</v>
      </c>
      <c r="H81" s="44" t="s">
        <v>201</v>
      </c>
      <c r="I81" s="44" t="s">
        <v>201</v>
      </c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  <c r="AG81" s="44"/>
      <c r="AH81" s="44"/>
      <c r="AI81" s="44"/>
      <c r="AJ81" s="44"/>
      <c r="AK81" s="44"/>
      <c r="AL81" s="44"/>
      <c r="AM81" s="44"/>
      <c r="AN81" s="44"/>
      <c r="AO81" s="44"/>
      <c r="AP81" s="44"/>
      <c r="AQ81" s="44"/>
      <c r="AR81" s="44"/>
      <c r="AS81" s="44"/>
      <c r="AT81" s="44"/>
      <c r="AU81" s="44"/>
      <c r="AV81" s="44"/>
      <c r="AW81" s="44"/>
      <c r="AX81" s="44"/>
      <c r="AY81" s="44"/>
      <c r="AZ81" s="53">
        <v>46282</v>
      </c>
      <c r="BA81" s="62" t="s">
        <v>201</v>
      </c>
      <c r="BB81" s="63" t="s">
        <v>201</v>
      </c>
      <c r="BC81" s="63" t="s">
        <v>201</v>
      </c>
      <c r="BD81" s="63" t="s">
        <v>201</v>
      </c>
      <c r="BE81" s="63" t="s">
        <v>201</v>
      </c>
      <c r="BF81" s="63" t="s">
        <v>201</v>
      </c>
    </row>
    <row r="82" spans="1:58">
      <c r="A82" s="46" t="s">
        <v>201</v>
      </c>
      <c r="B82" s="44" t="s">
        <v>201</v>
      </c>
      <c r="C82" s="44" t="s">
        <v>201</v>
      </c>
      <c r="D82" s="44" t="s">
        <v>201</v>
      </c>
      <c r="E82" s="44" t="s">
        <v>201</v>
      </c>
      <c r="F82" s="44" t="s">
        <v>201</v>
      </c>
      <c r="G82" s="44" t="s">
        <v>201</v>
      </c>
      <c r="H82" s="44" t="s">
        <v>201</v>
      </c>
      <c r="I82" s="44" t="s">
        <v>201</v>
      </c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4"/>
      <c r="AJ82" s="44"/>
      <c r="AK82" s="44"/>
      <c r="AL82" s="44"/>
      <c r="AM82" s="44"/>
      <c r="AN82" s="44"/>
      <c r="AO82" s="44"/>
      <c r="AP82" s="44"/>
      <c r="AQ82" s="44"/>
      <c r="AR82" s="44"/>
      <c r="AS82" s="44"/>
      <c r="AT82" s="44"/>
      <c r="AU82" s="44"/>
      <c r="AV82" s="44"/>
      <c r="AW82" s="44"/>
      <c r="AX82" s="44"/>
      <c r="AY82" s="44"/>
      <c r="AZ82" s="54">
        <v>46283</v>
      </c>
      <c r="BA82" s="60" t="s">
        <v>201</v>
      </c>
      <c r="BB82" s="61" t="s">
        <v>201</v>
      </c>
      <c r="BC82" s="61" t="s">
        <v>201</v>
      </c>
      <c r="BD82" s="61" t="s">
        <v>201</v>
      </c>
      <c r="BE82" s="61" t="s">
        <v>201</v>
      </c>
      <c r="BF82" s="61" t="s">
        <v>201</v>
      </c>
    </row>
    <row r="83" spans="1:58">
      <c r="A83" s="46" t="s">
        <v>201</v>
      </c>
      <c r="B83" s="44" t="s">
        <v>201</v>
      </c>
      <c r="C83" s="44" t="s">
        <v>201</v>
      </c>
      <c r="D83" s="44" t="s">
        <v>201</v>
      </c>
      <c r="E83" s="44" t="s">
        <v>201</v>
      </c>
      <c r="F83" s="44" t="s">
        <v>201</v>
      </c>
      <c r="G83" s="44" t="s">
        <v>201</v>
      </c>
      <c r="H83" s="44" t="s">
        <v>201</v>
      </c>
      <c r="I83" s="44" t="s">
        <v>201</v>
      </c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53">
        <v>46284</v>
      </c>
      <c r="BA83" s="62" t="s">
        <v>201</v>
      </c>
      <c r="BB83" s="63" t="s">
        <v>201</v>
      </c>
      <c r="BC83" s="63" t="s">
        <v>201</v>
      </c>
      <c r="BD83" s="63" t="s">
        <v>201</v>
      </c>
      <c r="BE83" s="63" t="s">
        <v>201</v>
      </c>
      <c r="BF83" s="63" t="s">
        <v>201</v>
      </c>
    </row>
    <row r="84" spans="1:58">
      <c r="A84" s="46" t="s">
        <v>201</v>
      </c>
      <c r="B84" s="44" t="s">
        <v>201</v>
      </c>
      <c r="C84" s="44" t="s">
        <v>201</v>
      </c>
      <c r="D84" s="44" t="s">
        <v>201</v>
      </c>
      <c r="E84" s="44" t="s">
        <v>201</v>
      </c>
      <c r="F84" s="44" t="s">
        <v>201</v>
      </c>
      <c r="G84" s="44" t="s">
        <v>201</v>
      </c>
      <c r="H84" s="44" t="s">
        <v>201</v>
      </c>
      <c r="I84" s="44" t="s">
        <v>201</v>
      </c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  <c r="AG84" s="44"/>
      <c r="AH84" s="44"/>
      <c r="AI84" s="44"/>
      <c r="AJ84" s="44"/>
      <c r="AK84" s="44"/>
      <c r="AL84" s="44"/>
      <c r="AM84" s="44"/>
      <c r="AN84" s="44"/>
      <c r="AO84" s="44"/>
      <c r="AP84" s="44"/>
      <c r="AQ84" s="44"/>
      <c r="AR84" s="44"/>
      <c r="AS84" s="44"/>
      <c r="AT84" s="44"/>
      <c r="AU84" s="44"/>
      <c r="AV84" s="44"/>
      <c r="AW84" s="44"/>
      <c r="AX84" s="44"/>
      <c r="AY84" s="44"/>
      <c r="AZ84" s="54">
        <v>46285</v>
      </c>
      <c r="BA84" s="60" t="s">
        <v>201</v>
      </c>
      <c r="BB84" s="61" t="s">
        <v>201</v>
      </c>
      <c r="BC84" s="61" t="s">
        <v>201</v>
      </c>
      <c r="BD84" s="61" t="s">
        <v>201</v>
      </c>
      <c r="BE84" s="61" t="s">
        <v>201</v>
      </c>
      <c r="BF84" s="61" t="s">
        <v>201</v>
      </c>
    </row>
    <row r="85" spans="1:58">
      <c r="A85" s="46" t="s">
        <v>201</v>
      </c>
      <c r="B85" s="44" t="s">
        <v>201</v>
      </c>
      <c r="C85" s="44" t="s">
        <v>201</v>
      </c>
      <c r="D85" s="44" t="s">
        <v>201</v>
      </c>
      <c r="E85" s="44" t="s">
        <v>201</v>
      </c>
      <c r="F85" s="44" t="s">
        <v>201</v>
      </c>
      <c r="G85" s="44" t="s">
        <v>201</v>
      </c>
      <c r="H85" s="44" t="s">
        <v>201</v>
      </c>
      <c r="I85" s="44" t="s">
        <v>201</v>
      </c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  <c r="AJ85" s="44"/>
      <c r="AK85" s="44"/>
      <c r="AL85" s="44"/>
      <c r="AM85" s="44"/>
      <c r="AN85" s="44"/>
      <c r="AO85" s="44"/>
      <c r="AP85" s="44"/>
      <c r="AQ85" s="44"/>
      <c r="AR85" s="44"/>
      <c r="AS85" s="44"/>
      <c r="AT85" s="44"/>
      <c r="AU85" s="44"/>
      <c r="AV85" s="44"/>
      <c r="AW85" s="44"/>
      <c r="AX85" s="44"/>
      <c r="AY85" s="44"/>
      <c r="AZ85" s="53">
        <v>46286</v>
      </c>
      <c r="BA85" s="62" t="s">
        <v>201</v>
      </c>
      <c r="BB85" s="63" t="s">
        <v>201</v>
      </c>
      <c r="BC85" s="63" t="s">
        <v>201</v>
      </c>
      <c r="BD85" s="63" t="s">
        <v>201</v>
      </c>
      <c r="BE85" s="63" t="s">
        <v>201</v>
      </c>
      <c r="BF85" s="63" t="s">
        <v>201</v>
      </c>
    </row>
    <row r="86" spans="1:58">
      <c r="A86" s="46" t="s">
        <v>201</v>
      </c>
      <c r="B86" s="44" t="s">
        <v>201</v>
      </c>
      <c r="C86" s="44" t="s">
        <v>201</v>
      </c>
      <c r="D86" s="44" t="s">
        <v>201</v>
      </c>
      <c r="E86" s="44" t="s">
        <v>201</v>
      </c>
      <c r="F86" s="44" t="s">
        <v>201</v>
      </c>
      <c r="G86" s="44" t="s">
        <v>201</v>
      </c>
      <c r="H86" s="44" t="s">
        <v>201</v>
      </c>
      <c r="I86" s="44" t="s">
        <v>201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/>
      <c r="AX86" s="44"/>
      <c r="AY86" s="44"/>
      <c r="AZ86" s="54">
        <v>46287</v>
      </c>
      <c r="BA86" s="60" t="s">
        <v>201</v>
      </c>
      <c r="BB86" s="61" t="s">
        <v>201</v>
      </c>
      <c r="BC86" s="61" t="s">
        <v>201</v>
      </c>
      <c r="BD86" s="61" t="s">
        <v>201</v>
      </c>
      <c r="BE86" s="61" t="s">
        <v>201</v>
      </c>
      <c r="BF86" s="61" t="s">
        <v>201</v>
      </c>
    </row>
    <row r="87" spans="1:58">
      <c r="A87" s="46" t="s">
        <v>201</v>
      </c>
      <c r="B87" s="44" t="s">
        <v>201</v>
      </c>
      <c r="C87" s="44" t="s">
        <v>201</v>
      </c>
      <c r="D87" s="44" t="s">
        <v>201</v>
      </c>
      <c r="E87" s="44" t="s">
        <v>201</v>
      </c>
      <c r="F87" s="44" t="s">
        <v>201</v>
      </c>
      <c r="G87" s="44" t="s">
        <v>201</v>
      </c>
      <c r="H87" s="44" t="s">
        <v>201</v>
      </c>
      <c r="I87" s="44" t="s">
        <v>201</v>
      </c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53">
        <v>46288</v>
      </c>
      <c r="BA87" s="62" t="s">
        <v>201</v>
      </c>
      <c r="BB87" s="63" t="s">
        <v>201</v>
      </c>
      <c r="BC87" s="63" t="s">
        <v>201</v>
      </c>
      <c r="BD87" s="63" t="s">
        <v>201</v>
      </c>
      <c r="BE87" s="63" t="s">
        <v>201</v>
      </c>
      <c r="BF87" s="63" t="s">
        <v>201</v>
      </c>
    </row>
    <row r="88" spans="1:58">
      <c r="A88" s="46" t="s">
        <v>201</v>
      </c>
      <c r="B88" s="44" t="s">
        <v>201</v>
      </c>
      <c r="C88" s="44" t="s">
        <v>201</v>
      </c>
      <c r="D88" s="44" t="s">
        <v>201</v>
      </c>
      <c r="E88" s="44" t="s">
        <v>201</v>
      </c>
      <c r="F88" s="44" t="s">
        <v>201</v>
      </c>
      <c r="G88" s="44" t="s">
        <v>201</v>
      </c>
      <c r="H88" s="44" t="s">
        <v>201</v>
      </c>
      <c r="I88" s="44" t="s">
        <v>201</v>
      </c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  <c r="AJ88" s="44"/>
      <c r="AK88" s="44"/>
      <c r="AL88" s="44"/>
      <c r="AM88" s="44"/>
      <c r="AN88" s="44"/>
      <c r="AO88" s="44"/>
      <c r="AP88" s="44"/>
      <c r="AQ88" s="44"/>
      <c r="AR88" s="44"/>
      <c r="AS88" s="44"/>
      <c r="AT88" s="44"/>
      <c r="AU88" s="44"/>
      <c r="AV88" s="44"/>
      <c r="AW88" s="44"/>
      <c r="AX88" s="44"/>
      <c r="AY88" s="44"/>
      <c r="AZ88" s="54">
        <v>46289</v>
      </c>
      <c r="BA88" s="60" t="s">
        <v>201</v>
      </c>
      <c r="BB88" s="61" t="s">
        <v>201</v>
      </c>
      <c r="BC88" s="61" t="s">
        <v>201</v>
      </c>
      <c r="BD88" s="61" t="s">
        <v>201</v>
      </c>
      <c r="BE88" s="61" t="s">
        <v>201</v>
      </c>
      <c r="BF88" s="61" t="s">
        <v>201</v>
      </c>
    </row>
    <row r="89" spans="1:58">
      <c r="A89" s="46" t="s">
        <v>201</v>
      </c>
      <c r="B89" s="44" t="s">
        <v>201</v>
      </c>
      <c r="C89" s="44" t="s">
        <v>201</v>
      </c>
      <c r="D89" s="44" t="s">
        <v>201</v>
      </c>
      <c r="E89" s="44" t="s">
        <v>201</v>
      </c>
      <c r="F89" s="44" t="s">
        <v>201</v>
      </c>
      <c r="G89" s="44" t="s">
        <v>201</v>
      </c>
      <c r="H89" s="44" t="s">
        <v>201</v>
      </c>
      <c r="I89" s="44" t="s">
        <v>201</v>
      </c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44"/>
      <c r="AL89" s="44"/>
      <c r="AM89" s="44"/>
      <c r="AN89" s="44"/>
      <c r="AO89" s="44"/>
      <c r="AP89" s="44"/>
      <c r="AQ89" s="44"/>
      <c r="AR89" s="44"/>
      <c r="AS89" s="44"/>
      <c r="AT89" s="44"/>
      <c r="AU89" s="44"/>
      <c r="AV89" s="44"/>
      <c r="AW89" s="44"/>
      <c r="AX89" s="44"/>
      <c r="AY89" s="44"/>
      <c r="AZ89" s="53">
        <v>46290</v>
      </c>
      <c r="BA89" s="62" t="s">
        <v>201</v>
      </c>
      <c r="BB89" s="63" t="s">
        <v>201</v>
      </c>
      <c r="BC89" s="63" t="s">
        <v>201</v>
      </c>
      <c r="BD89" s="63" t="s">
        <v>201</v>
      </c>
      <c r="BE89" s="63" t="s">
        <v>201</v>
      </c>
      <c r="BF89" s="63" t="s">
        <v>201</v>
      </c>
    </row>
    <row r="90" spans="1:58">
      <c r="A90" s="46" t="s">
        <v>201</v>
      </c>
      <c r="B90" s="44" t="s">
        <v>201</v>
      </c>
      <c r="C90" s="44" t="s">
        <v>201</v>
      </c>
      <c r="D90" s="44" t="s">
        <v>201</v>
      </c>
      <c r="E90" s="44" t="s">
        <v>201</v>
      </c>
      <c r="F90" s="44" t="s">
        <v>201</v>
      </c>
      <c r="G90" s="44" t="s">
        <v>201</v>
      </c>
      <c r="H90" s="44" t="s">
        <v>201</v>
      </c>
      <c r="I90" s="44" t="s">
        <v>201</v>
      </c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54">
        <v>46291</v>
      </c>
      <c r="BA90" s="60" t="s">
        <v>201</v>
      </c>
      <c r="BB90" s="61" t="s">
        <v>201</v>
      </c>
      <c r="BC90" s="61" t="s">
        <v>201</v>
      </c>
      <c r="BD90" s="61" t="s">
        <v>201</v>
      </c>
      <c r="BE90" s="61" t="s">
        <v>201</v>
      </c>
      <c r="BF90" s="61" t="s">
        <v>201</v>
      </c>
    </row>
    <row r="91" spans="1:58">
      <c r="A91" s="46" t="s">
        <v>201</v>
      </c>
      <c r="B91" s="44" t="s">
        <v>201</v>
      </c>
      <c r="C91" s="44" t="s">
        <v>201</v>
      </c>
      <c r="D91" s="44" t="s">
        <v>201</v>
      </c>
      <c r="E91" s="44" t="s">
        <v>201</v>
      </c>
      <c r="F91" s="44" t="s">
        <v>201</v>
      </c>
      <c r="G91" s="44" t="s">
        <v>201</v>
      </c>
      <c r="H91" s="44" t="s">
        <v>201</v>
      </c>
      <c r="I91" s="44" t="s">
        <v>201</v>
      </c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53">
        <v>46292</v>
      </c>
      <c r="BA91" s="62" t="s">
        <v>201</v>
      </c>
      <c r="BB91" s="63" t="s">
        <v>201</v>
      </c>
      <c r="BC91" s="63" t="s">
        <v>201</v>
      </c>
      <c r="BD91" s="63" t="s">
        <v>201</v>
      </c>
      <c r="BE91" s="63" t="s">
        <v>201</v>
      </c>
      <c r="BF91" s="63" t="s">
        <v>201</v>
      </c>
    </row>
    <row r="92" spans="1:58">
      <c r="A92" s="46" t="s">
        <v>201</v>
      </c>
      <c r="B92" s="44" t="s">
        <v>201</v>
      </c>
      <c r="C92" s="44" t="s">
        <v>201</v>
      </c>
      <c r="D92" s="44" t="s">
        <v>201</v>
      </c>
      <c r="E92" s="44" t="s">
        <v>201</v>
      </c>
      <c r="F92" s="44" t="s">
        <v>201</v>
      </c>
      <c r="G92" s="44" t="s">
        <v>201</v>
      </c>
      <c r="H92" s="44" t="s">
        <v>201</v>
      </c>
      <c r="I92" s="44" t="s">
        <v>201</v>
      </c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54">
        <v>46293</v>
      </c>
      <c r="BA92" s="60" t="s">
        <v>201</v>
      </c>
      <c r="BB92" s="61" t="s">
        <v>201</v>
      </c>
      <c r="BC92" s="61" t="s">
        <v>201</v>
      </c>
      <c r="BD92" s="61" t="s">
        <v>201</v>
      </c>
      <c r="BE92" s="61" t="s">
        <v>201</v>
      </c>
      <c r="BF92" s="61" t="s">
        <v>201</v>
      </c>
    </row>
    <row r="93" spans="1:58">
      <c r="A93" s="46" t="s">
        <v>201</v>
      </c>
      <c r="B93" s="44" t="s">
        <v>201</v>
      </c>
      <c r="C93" s="44" t="s">
        <v>201</v>
      </c>
      <c r="D93" s="44" t="s">
        <v>201</v>
      </c>
      <c r="E93" s="44" t="s">
        <v>201</v>
      </c>
      <c r="F93" s="44" t="s">
        <v>201</v>
      </c>
      <c r="G93" s="44" t="s">
        <v>201</v>
      </c>
      <c r="H93" s="44" t="s">
        <v>201</v>
      </c>
      <c r="I93" s="44" t="s">
        <v>201</v>
      </c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53">
        <v>46294</v>
      </c>
      <c r="BA93" s="62" t="s">
        <v>201</v>
      </c>
      <c r="BB93" s="63" t="s">
        <v>201</v>
      </c>
      <c r="BC93" s="63" t="s">
        <v>201</v>
      </c>
      <c r="BD93" s="63" t="s">
        <v>201</v>
      </c>
      <c r="BE93" s="63" t="s">
        <v>201</v>
      </c>
      <c r="BF93" s="63" t="s">
        <v>201</v>
      </c>
    </row>
    <row r="94" spans="1:58">
      <c r="A94" s="46" t="s">
        <v>201</v>
      </c>
      <c r="B94" s="44" t="s">
        <v>201</v>
      </c>
      <c r="C94" s="44" t="s">
        <v>201</v>
      </c>
      <c r="D94" s="44" t="s">
        <v>201</v>
      </c>
      <c r="E94" s="44" t="s">
        <v>201</v>
      </c>
      <c r="F94" s="44" t="s">
        <v>201</v>
      </c>
      <c r="G94" s="44" t="s">
        <v>201</v>
      </c>
      <c r="H94" s="44" t="s">
        <v>201</v>
      </c>
      <c r="I94" s="44" t="s">
        <v>201</v>
      </c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54">
        <v>46295</v>
      </c>
      <c r="BA94" s="60" t="s">
        <v>201</v>
      </c>
      <c r="BB94" s="61" t="s">
        <v>201</v>
      </c>
      <c r="BC94" s="61" t="s">
        <v>201</v>
      </c>
      <c r="BD94" s="61" t="s">
        <v>201</v>
      </c>
      <c r="BE94" s="61" t="s">
        <v>201</v>
      </c>
      <c r="BF94" s="61" t="s">
        <v>201</v>
      </c>
    </row>
    <row r="95" spans="1:58">
      <c r="A95" s="46" t="s">
        <v>201</v>
      </c>
      <c r="B95" s="44" t="s">
        <v>201</v>
      </c>
      <c r="C95" s="44" t="s">
        <v>201</v>
      </c>
      <c r="D95" s="44" t="s">
        <v>201</v>
      </c>
      <c r="E95" s="44" t="s">
        <v>201</v>
      </c>
      <c r="F95" s="44" t="s">
        <v>201</v>
      </c>
      <c r="G95" s="44" t="s">
        <v>201</v>
      </c>
      <c r="H95" s="44" t="s">
        <v>201</v>
      </c>
      <c r="I95" s="44" t="s">
        <v>201</v>
      </c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53">
        <v>46296</v>
      </c>
      <c r="BA95" s="62" t="s">
        <v>201</v>
      </c>
      <c r="BB95" s="63" t="s">
        <v>201</v>
      </c>
      <c r="BC95" s="63" t="s">
        <v>201</v>
      </c>
      <c r="BD95" s="63" t="s">
        <v>201</v>
      </c>
      <c r="BE95" s="63" t="s">
        <v>201</v>
      </c>
      <c r="BF95" s="63" t="s">
        <v>201</v>
      </c>
    </row>
    <row r="96" spans="1:58">
      <c r="A96" s="46" t="s">
        <v>201</v>
      </c>
      <c r="B96" s="44" t="s">
        <v>201</v>
      </c>
      <c r="C96" s="44" t="s">
        <v>201</v>
      </c>
      <c r="D96" s="44" t="s">
        <v>201</v>
      </c>
      <c r="E96" s="44" t="s">
        <v>201</v>
      </c>
      <c r="F96" s="44" t="s">
        <v>201</v>
      </c>
      <c r="G96" s="44" t="s">
        <v>201</v>
      </c>
      <c r="H96" s="44" t="s">
        <v>201</v>
      </c>
      <c r="I96" s="44" t="s">
        <v>201</v>
      </c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54">
        <v>46297</v>
      </c>
      <c r="BA96" s="60" t="s">
        <v>201</v>
      </c>
      <c r="BB96" s="61" t="s">
        <v>201</v>
      </c>
      <c r="BC96" s="61" t="s">
        <v>201</v>
      </c>
      <c r="BD96" s="61" t="s">
        <v>201</v>
      </c>
      <c r="BE96" s="61" t="s">
        <v>201</v>
      </c>
      <c r="BF96" s="61" t="s">
        <v>201</v>
      </c>
    </row>
    <row r="97" spans="1:58">
      <c r="A97" s="46" t="s">
        <v>201</v>
      </c>
      <c r="B97" s="44" t="s">
        <v>201</v>
      </c>
      <c r="C97" s="44" t="s">
        <v>201</v>
      </c>
      <c r="D97" s="44" t="s">
        <v>201</v>
      </c>
      <c r="E97" s="44" t="s">
        <v>201</v>
      </c>
      <c r="F97" s="44" t="s">
        <v>201</v>
      </c>
      <c r="G97" s="44" t="s">
        <v>201</v>
      </c>
      <c r="H97" s="44" t="s">
        <v>201</v>
      </c>
      <c r="I97" s="44" t="s">
        <v>201</v>
      </c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53">
        <v>46298</v>
      </c>
      <c r="BA97" s="62" t="s">
        <v>201</v>
      </c>
      <c r="BB97" s="63" t="s">
        <v>201</v>
      </c>
      <c r="BC97" s="63" t="s">
        <v>201</v>
      </c>
      <c r="BD97" s="63" t="s">
        <v>201</v>
      </c>
      <c r="BE97" s="63" t="s">
        <v>201</v>
      </c>
      <c r="BF97" s="63" t="s">
        <v>201</v>
      </c>
    </row>
    <row r="98" spans="1:58">
      <c r="A98" s="46" t="s">
        <v>201</v>
      </c>
      <c r="B98" s="44" t="s">
        <v>201</v>
      </c>
      <c r="C98" s="44" t="s">
        <v>201</v>
      </c>
      <c r="D98" s="44" t="s">
        <v>201</v>
      </c>
      <c r="E98" s="44" t="s">
        <v>201</v>
      </c>
      <c r="F98" s="44" t="s">
        <v>201</v>
      </c>
      <c r="G98" s="44" t="s">
        <v>201</v>
      </c>
      <c r="H98" s="44" t="s">
        <v>201</v>
      </c>
      <c r="I98" s="44" t="s">
        <v>201</v>
      </c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54">
        <v>46299</v>
      </c>
      <c r="BA98" s="60" t="s">
        <v>201</v>
      </c>
      <c r="BB98" s="61" t="s">
        <v>201</v>
      </c>
      <c r="BC98" s="61" t="s">
        <v>201</v>
      </c>
      <c r="BD98" s="61" t="s">
        <v>201</v>
      </c>
      <c r="BE98" s="61" t="s">
        <v>201</v>
      </c>
      <c r="BF98" s="61" t="s">
        <v>201</v>
      </c>
    </row>
    <row r="99" spans="1:58">
      <c r="A99" s="46" t="s">
        <v>201</v>
      </c>
      <c r="B99" s="44" t="s">
        <v>201</v>
      </c>
      <c r="C99" s="44" t="s">
        <v>201</v>
      </c>
      <c r="D99" s="44" t="s">
        <v>201</v>
      </c>
      <c r="E99" s="44" t="s">
        <v>201</v>
      </c>
      <c r="F99" s="44" t="s">
        <v>201</v>
      </c>
      <c r="G99" s="44" t="s">
        <v>201</v>
      </c>
      <c r="H99" s="44" t="s">
        <v>201</v>
      </c>
      <c r="I99" s="44" t="s">
        <v>201</v>
      </c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53">
        <v>46300</v>
      </c>
      <c r="BA99" s="62" t="s">
        <v>201</v>
      </c>
      <c r="BB99" s="63" t="s">
        <v>201</v>
      </c>
      <c r="BC99" s="63" t="s">
        <v>201</v>
      </c>
      <c r="BD99" s="63" t="s">
        <v>201</v>
      </c>
      <c r="BE99" s="63" t="s">
        <v>201</v>
      </c>
      <c r="BF99" s="63" t="s">
        <v>201</v>
      </c>
    </row>
    <row r="100" spans="1:58">
      <c r="A100" s="46" t="s">
        <v>201</v>
      </c>
      <c r="B100" s="44" t="s">
        <v>201</v>
      </c>
      <c r="C100" s="44" t="s">
        <v>201</v>
      </c>
      <c r="D100" s="44" t="s">
        <v>201</v>
      </c>
      <c r="E100" s="44" t="s">
        <v>201</v>
      </c>
      <c r="F100" s="44" t="s">
        <v>201</v>
      </c>
      <c r="G100" s="44" t="s">
        <v>201</v>
      </c>
      <c r="H100" s="44" t="s">
        <v>201</v>
      </c>
      <c r="I100" s="44" t="s">
        <v>201</v>
      </c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44"/>
      <c r="AG100" s="44"/>
      <c r="AH100" s="44"/>
      <c r="AI100" s="44"/>
      <c r="AJ100" s="44"/>
      <c r="AK100" s="44"/>
      <c r="AL100" s="44"/>
      <c r="AM100" s="44"/>
      <c r="AN100" s="44"/>
      <c r="AO100" s="44"/>
      <c r="AP100" s="44"/>
      <c r="AQ100" s="44"/>
      <c r="AR100" s="44"/>
      <c r="AS100" s="44"/>
      <c r="AT100" s="44"/>
      <c r="AU100" s="44"/>
      <c r="AV100" s="44"/>
      <c r="AW100" s="44"/>
      <c r="AX100" s="44"/>
      <c r="AY100" s="44"/>
      <c r="AZ100" s="54">
        <v>46301</v>
      </c>
      <c r="BA100" s="60" t="s">
        <v>201</v>
      </c>
      <c r="BB100" s="61" t="s">
        <v>201</v>
      </c>
      <c r="BC100" s="61" t="s">
        <v>201</v>
      </c>
      <c r="BD100" s="61" t="s">
        <v>201</v>
      </c>
      <c r="BE100" s="61" t="s">
        <v>201</v>
      </c>
      <c r="BF100" s="61" t="s">
        <v>201</v>
      </c>
    </row>
    <row r="101" spans="1:58">
      <c r="A101" s="46" t="s">
        <v>201</v>
      </c>
      <c r="B101" s="44" t="s">
        <v>201</v>
      </c>
      <c r="C101" s="44" t="s">
        <v>201</v>
      </c>
      <c r="D101" s="44" t="s">
        <v>201</v>
      </c>
      <c r="E101" s="44" t="s">
        <v>201</v>
      </c>
      <c r="F101" s="44" t="s">
        <v>201</v>
      </c>
      <c r="G101" s="44" t="s">
        <v>201</v>
      </c>
      <c r="H101" s="44" t="s">
        <v>201</v>
      </c>
      <c r="I101" s="44" t="s">
        <v>201</v>
      </c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44"/>
      <c r="AH101" s="44"/>
      <c r="AI101" s="44"/>
      <c r="AJ101" s="44"/>
      <c r="AK101" s="44"/>
      <c r="AL101" s="44"/>
      <c r="AM101" s="44"/>
      <c r="AN101" s="44"/>
      <c r="AO101" s="44"/>
      <c r="AP101" s="44"/>
      <c r="AQ101" s="44"/>
      <c r="AR101" s="44"/>
      <c r="AS101" s="44"/>
      <c r="AT101" s="44"/>
      <c r="AU101" s="44"/>
      <c r="AV101" s="44"/>
      <c r="AW101" s="44"/>
      <c r="AX101" s="44"/>
      <c r="AY101" s="44"/>
      <c r="AZ101" s="53">
        <v>46302</v>
      </c>
      <c r="BA101" s="62" t="s">
        <v>201</v>
      </c>
      <c r="BB101" s="63" t="s">
        <v>201</v>
      </c>
      <c r="BC101" s="63" t="s">
        <v>201</v>
      </c>
      <c r="BD101" s="63" t="s">
        <v>201</v>
      </c>
      <c r="BE101" s="63" t="s">
        <v>201</v>
      </c>
      <c r="BF101" s="63" t="s">
        <v>201</v>
      </c>
    </row>
    <row r="102" spans="1:58">
      <c r="A102" s="46" t="s">
        <v>201</v>
      </c>
      <c r="B102" s="44" t="s">
        <v>201</v>
      </c>
      <c r="C102" s="44" t="s">
        <v>201</v>
      </c>
      <c r="D102" s="44" t="s">
        <v>201</v>
      </c>
      <c r="E102" s="44" t="s">
        <v>201</v>
      </c>
      <c r="F102" s="44" t="s">
        <v>201</v>
      </c>
      <c r="G102" s="44" t="s">
        <v>201</v>
      </c>
      <c r="H102" s="44" t="s">
        <v>201</v>
      </c>
      <c r="I102" s="44" t="s">
        <v>201</v>
      </c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44"/>
      <c r="AG102" s="44"/>
      <c r="AH102" s="44"/>
      <c r="AI102" s="44"/>
      <c r="AJ102" s="44"/>
      <c r="AK102" s="44"/>
      <c r="AL102" s="44"/>
      <c r="AM102" s="44"/>
      <c r="AN102" s="44"/>
      <c r="AO102" s="44"/>
      <c r="AP102" s="44"/>
      <c r="AQ102" s="44"/>
      <c r="AR102" s="44"/>
      <c r="AS102" s="44"/>
      <c r="AT102" s="44"/>
      <c r="AU102" s="44"/>
      <c r="AV102" s="44"/>
      <c r="AW102" s="44"/>
      <c r="AX102" s="44"/>
      <c r="AY102" s="44"/>
      <c r="AZ102" s="54">
        <v>46303</v>
      </c>
      <c r="BA102" s="60" t="s">
        <v>201</v>
      </c>
      <c r="BB102" s="61" t="s">
        <v>201</v>
      </c>
      <c r="BC102" s="61" t="s">
        <v>201</v>
      </c>
      <c r="BD102" s="61" t="s">
        <v>201</v>
      </c>
      <c r="BE102" s="61" t="s">
        <v>201</v>
      </c>
      <c r="BF102" s="61" t="s">
        <v>201</v>
      </c>
    </row>
    <row r="103" spans="1:58">
      <c r="A103" s="46" t="s">
        <v>201</v>
      </c>
      <c r="B103" s="44" t="s">
        <v>201</v>
      </c>
      <c r="C103" s="44" t="s">
        <v>201</v>
      </c>
      <c r="D103" s="44" t="s">
        <v>201</v>
      </c>
      <c r="E103" s="44" t="s">
        <v>201</v>
      </c>
      <c r="F103" s="44" t="s">
        <v>201</v>
      </c>
      <c r="G103" s="44" t="s">
        <v>201</v>
      </c>
      <c r="H103" s="44" t="s">
        <v>201</v>
      </c>
      <c r="I103" s="44" t="s">
        <v>201</v>
      </c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  <c r="AI103" s="44"/>
      <c r="AJ103" s="44"/>
      <c r="AK103" s="44"/>
      <c r="AL103" s="44"/>
      <c r="AM103" s="44"/>
      <c r="AN103" s="44"/>
      <c r="AO103" s="44"/>
      <c r="AP103" s="44"/>
      <c r="AQ103" s="44"/>
      <c r="AR103" s="44"/>
      <c r="AS103" s="44"/>
      <c r="AT103" s="44"/>
      <c r="AU103" s="44"/>
      <c r="AV103" s="44"/>
      <c r="AW103" s="44"/>
      <c r="AX103" s="44"/>
      <c r="AY103" s="44"/>
      <c r="AZ103" s="53">
        <v>46304</v>
      </c>
      <c r="BA103" s="62" t="s">
        <v>201</v>
      </c>
      <c r="BB103" s="63" t="s">
        <v>201</v>
      </c>
      <c r="BC103" s="63" t="s">
        <v>201</v>
      </c>
      <c r="BD103" s="63" t="s">
        <v>201</v>
      </c>
      <c r="BE103" s="63" t="s">
        <v>201</v>
      </c>
      <c r="BF103" s="63" t="s">
        <v>201</v>
      </c>
    </row>
    <row r="104" spans="1:58">
      <c r="A104" s="46" t="s">
        <v>201</v>
      </c>
      <c r="B104" s="44" t="s">
        <v>201</v>
      </c>
      <c r="C104" s="44" t="s">
        <v>201</v>
      </c>
      <c r="D104" s="44" t="s">
        <v>201</v>
      </c>
      <c r="E104" s="44" t="s">
        <v>201</v>
      </c>
      <c r="F104" s="44" t="s">
        <v>201</v>
      </c>
      <c r="G104" s="44" t="s">
        <v>201</v>
      </c>
      <c r="H104" s="44" t="s">
        <v>201</v>
      </c>
      <c r="I104" s="44" t="s">
        <v>201</v>
      </c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  <c r="AE104" s="44"/>
      <c r="AF104" s="44"/>
      <c r="AG104" s="44"/>
      <c r="AH104" s="44"/>
      <c r="AI104" s="44"/>
      <c r="AJ104" s="44"/>
      <c r="AK104" s="44"/>
      <c r="AL104" s="44"/>
      <c r="AM104" s="44"/>
      <c r="AN104" s="44"/>
      <c r="AO104" s="44"/>
      <c r="AP104" s="44"/>
      <c r="AQ104" s="44"/>
      <c r="AR104" s="44"/>
      <c r="AS104" s="44"/>
      <c r="AT104" s="44"/>
      <c r="AU104" s="44"/>
      <c r="AV104" s="44"/>
      <c r="AW104" s="44"/>
      <c r="AX104" s="44"/>
      <c r="AY104" s="44"/>
      <c r="AZ104" s="54">
        <v>46305</v>
      </c>
      <c r="BA104" s="60" t="s">
        <v>201</v>
      </c>
      <c r="BB104" s="61" t="s">
        <v>201</v>
      </c>
      <c r="BC104" s="61" t="s">
        <v>201</v>
      </c>
      <c r="BD104" s="61" t="s">
        <v>201</v>
      </c>
      <c r="BE104" s="61" t="s">
        <v>201</v>
      </c>
      <c r="BF104" s="61" t="s">
        <v>201</v>
      </c>
    </row>
    <row r="105" spans="1:58">
      <c r="A105" s="46" t="s">
        <v>201</v>
      </c>
      <c r="B105" s="44" t="s">
        <v>201</v>
      </c>
      <c r="C105" s="44" t="s">
        <v>201</v>
      </c>
      <c r="D105" s="44" t="s">
        <v>201</v>
      </c>
      <c r="E105" s="44" t="s">
        <v>201</v>
      </c>
      <c r="F105" s="44" t="s">
        <v>201</v>
      </c>
      <c r="G105" s="44" t="s">
        <v>201</v>
      </c>
      <c r="H105" s="44" t="s">
        <v>201</v>
      </c>
      <c r="I105" s="44" t="s">
        <v>201</v>
      </c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44"/>
      <c r="AG105" s="44"/>
      <c r="AH105" s="44"/>
      <c r="AI105" s="44"/>
      <c r="AJ105" s="44"/>
      <c r="AK105" s="44"/>
      <c r="AL105" s="44"/>
      <c r="AM105" s="44"/>
      <c r="AN105" s="44"/>
      <c r="AO105" s="44"/>
      <c r="AP105" s="44"/>
      <c r="AQ105" s="44"/>
      <c r="AR105" s="44"/>
      <c r="AS105" s="44"/>
      <c r="AT105" s="44"/>
      <c r="AU105" s="44"/>
      <c r="AV105" s="44"/>
      <c r="AW105" s="44"/>
      <c r="AX105" s="44"/>
      <c r="AY105" s="44"/>
      <c r="AZ105" s="53">
        <v>46306</v>
      </c>
      <c r="BA105" s="62" t="s">
        <v>201</v>
      </c>
      <c r="BB105" s="63" t="s">
        <v>201</v>
      </c>
      <c r="BC105" s="63" t="s">
        <v>201</v>
      </c>
      <c r="BD105" s="63" t="s">
        <v>201</v>
      </c>
      <c r="BE105" s="63" t="s">
        <v>201</v>
      </c>
      <c r="BF105" s="63" t="s">
        <v>201</v>
      </c>
    </row>
    <row r="106" spans="1:58">
      <c r="A106" s="46" t="s">
        <v>201</v>
      </c>
      <c r="B106" s="44" t="s">
        <v>201</v>
      </c>
      <c r="C106" s="44" t="s">
        <v>201</v>
      </c>
      <c r="D106" s="44" t="s">
        <v>201</v>
      </c>
      <c r="E106" s="44" t="s">
        <v>201</v>
      </c>
      <c r="F106" s="44" t="s">
        <v>201</v>
      </c>
      <c r="G106" s="44" t="s">
        <v>201</v>
      </c>
      <c r="H106" s="44" t="s">
        <v>201</v>
      </c>
      <c r="I106" s="44" t="s">
        <v>201</v>
      </c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  <c r="AF106" s="44"/>
      <c r="AG106" s="44"/>
      <c r="AH106" s="44"/>
      <c r="AI106" s="44"/>
      <c r="AJ106" s="44"/>
      <c r="AK106" s="44"/>
      <c r="AL106" s="44"/>
      <c r="AM106" s="44"/>
      <c r="AN106" s="44"/>
      <c r="AO106" s="44"/>
      <c r="AP106" s="44"/>
      <c r="AQ106" s="44"/>
      <c r="AR106" s="44"/>
      <c r="AS106" s="44"/>
      <c r="AT106" s="44"/>
      <c r="AU106" s="44"/>
      <c r="AV106" s="44"/>
      <c r="AW106" s="44"/>
      <c r="AX106" s="44"/>
      <c r="AY106" s="44"/>
      <c r="AZ106" s="54">
        <v>46307</v>
      </c>
      <c r="BA106" s="60" t="s">
        <v>201</v>
      </c>
      <c r="BB106" s="61" t="s">
        <v>201</v>
      </c>
      <c r="BC106" s="61" t="s">
        <v>201</v>
      </c>
      <c r="BD106" s="61" t="s">
        <v>201</v>
      </c>
      <c r="BE106" s="61" t="s">
        <v>201</v>
      </c>
      <c r="BF106" s="61" t="s">
        <v>201</v>
      </c>
    </row>
    <row r="107" spans="1:58">
      <c r="A107" s="46" t="s">
        <v>201</v>
      </c>
      <c r="B107" s="44" t="s">
        <v>201</v>
      </c>
      <c r="C107" s="44" t="s">
        <v>201</v>
      </c>
      <c r="D107" s="44" t="s">
        <v>201</v>
      </c>
      <c r="E107" s="44" t="s">
        <v>201</v>
      </c>
      <c r="F107" s="44" t="s">
        <v>201</v>
      </c>
      <c r="G107" s="44" t="s">
        <v>201</v>
      </c>
      <c r="H107" s="44" t="s">
        <v>201</v>
      </c>
      <c r="I107" s="44" t="s">
        <v>201</v>
      </c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44"/>
      <c r="AG107" s="44"/>
      <c r="AH107" s="44"/>
      <c r="AI107" s="44"/>
      <c r="AJ107" s="44"/>
      <c r="AK107" s="44"/>
      <c r="AL107" s="44"/>
      <c r="AM107" s="44"/>
      <c r="AN107" s="44"/>
      <c r="AO107" s="44"/>
      <c r="AP107" s="44"/>
      <c r="AQ107" s="44"/>
      <c r="AR107" s="44"/>
      <c r="AS107" s="44"/>
      <c r="AT107" s="44"/>
      <c r="AU107" s="44"/>
      <c r="AV107" s="44"/>
      <c r="AW107" s="44"/>
      <c r="AX107" s="44"/>
      <c r="AY107" s="44"/>
      <c r="AZ107" s="53">
        <v>46308</v>
      </c>
      <c r="BA107" s="62" t="s">
        <v>201</v>
      </c>
      <c r="BB107" s="63" t="s">
        <v>201</v>
      </c>
      <c r="BC107" s="63" t="s">
        <v>201</v>
      </c>
      <c r="BD107" s="63" t="s">
        <v>201</v>
      </c>
      <c r="BE107" s="63" t="s">
        <v>201</v>
      </c>
      <c r="BF107" s="63" t="s">
        <v>201</v>
      </c>
    </row>
    <row r="108" spans="1:58">
      <c r="A108" s="46" t="s">
        <v>201</v>
      </c>
      <c r="B108" s="44" t="s">
        <v>201</v>
      </c>
      <c r="C108" s="44" t="s">
        <v>201</v>
      </c>
      <c r="D108" s="44" t="s">
        <v>201</v>
      </c>
      <c r="E108" s="44" t="s">
        <v>201</v>
      </c>
      <c r="F108" s="44" t="s">
        <v>201</v>
      </c>
      <c r="G108" s="44" t="s">
        <v>201</v>
      </c>
      <c r="H108" s="44" t="s">
        <v>201</v>
      </c>
      <c r="I108" s="44" t="s">
        <v>201</v>
      </c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44"/>
      <c r="AH108" s="44"/>
      <c r="AI108" s="44"/>
      <c r="AJ108" s="44"/>
      <c r="AK108" s="44"/>
      <c r="AL108" s="44"/>
      <c r="AM108" s="44"/>
      <c r="AN108" s="44"/>
      <c r="AO108" s="44"/>
      <c r="AP108" s="44"/>
      <c r="AQ108" s="44"/>
      <c r="AR108" s="44"/>
      <c r="AS108" s="44"/>
      <c r="AT108" s="44"/>
      <c r="AU108" s="44"/>
      <c r="AV108" s="44"/>
      <c r="AW108" s="44"/>
      <c r="AX108" s="44"/>
      <c r="AY108" s="44"/>
      <c r="AZ108" s="54">
        <v>46309</v>
      </c>
      <c r="BA108" s="60" t="s">
        <v>201</v>
      </c>
      <c r="BB108" s="61" t="s">
        <v>201</v>
      </c>
      <c r="BC108" s="61" t="s">
        <v>201</v>
      </c>
      <c r="BD108" s="61" t="s">
        <v>201</v>
      </c>
      <c r="BE108" s="61" t="s">
        <v>201</v>
      </c>
      <c r="BF108" s="61" t="s">
        <v>201</v>
      </c>
    </row>
    <row r="109" spans="1:58">
      <c r="A109" s="46" t="s">
        <v>201</v>
      </c>
      <c r="B109" s="44" t="s">
        <v>201</v>
      </c>
      <c r="C109" s="44" t="s">
        <v>201</v>
      </c>
      <c r="D109" s="44" t="s">
        <v>201</v>
      </c>
      <c r="E109" s="44" t="s">
        <v>201</v>
      </c>
      <c r="F109" s="44" t="s">
        <v>201</v>
      </c>
      <c r="G109" s="44" t="s">
        <v>201</v>
      </c>
      <c r="H109" s="44" t="s">
        <v>201</v>
      </c>
      <c r="I109" s="44" t="s">
        <v>201</v>
      </c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44"/>
      <c r="AG109" s="44"/>
      <c r="AH109" s="44"/>
      <c r="AI109" s="44"/>
      <c r="AJ109" s="44"/>
      <c r="AK109" s="44"/>
      <c r="AL109" s="44"/>
      <c r="AM109" s="44"/>
      <c r="AN109" s="44"/>
      <c r="AO109" s="44"/>
      <c r="AP109" s="44"/>
      <c r="AQ109" s="44"/>
      <c r="AR109" s="44"/>
      <c r="AS109" s="44"/>
      <c r="AT109" s="44"/>
      <c r="AU109" s="44"/>
      <c r="AV109" s="44"/>
      <c r="AW109" s="44"/>
      <c r="AX109" s="44"/>
      <c r="AY109" s="44"/>
      <c r="AZ109" s="53">
        <v>46310</v>
      </c>
      <c r="BA109" s="62" t="s">
        <v>201</v>
      </c>
      <c r="BB109" s="63" t="s">
        <v>201</v>
      </c>
      <c r="BC109" s="63" t="s">
        <v>201</v>
      </c>
      <c r="BD109" s="63" t="s">
        <v>201</v>
      </c>
      <c r="BE109" s="63" t="s">
        <v>201</v>
      </c>
      <c r="BF109" s="63" t="s">
        <v>201</v>
      </c>
    </row>
    <row r="110" spans="1:58">
      <c r="A110" s="46" t="s">
        <v>201</v>
      </c>
      <c r="B110" s="44" t="s">
        <v>201</v>
      </c>
      <c r="C110" s="44" t="s">
        <v>201</v>
      </c>
      <c r="D110" s="44" t="s">
        <v>201</v>
      </c>
      <c r="E110" s="44" t="s">
        <v>201</v>
      </c>
      <c r="F110" s="44" t="s">
        <v>201</v>
      </c>
      <c r="G110" s="44" t="s">
        <v>201</v>
      </c>
      <c r="H110" s="44" t="s">
        <v>201</v>
      </c>
      <c r="I110" s="44" t="s">
        <v>201</v>
      </c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44"/>
      <c r="AG110" s="44"/>
      <c r="AH110" s="44"/>
      <c r="AI110" s="44"/>
      <c r="AJ110" s="44"/>
      <c r="AK110" s="44"/>
      <c r="AL110" s="44"/>
      <c r="AM110" s="44"/>
      <c r="AN110" s="44"/>
      <c r="AO110" s="44"/>
      <c r="AP110" s="44"/>
      <c r="AQ110" s="44"/>
      <c r="AR110" s="44"/>
      <c r="AS110" s="44"/>
      <c r="AT110" s="44"/>
      <c r="AU110" s="44"/>
      <c r="AV110" s="44"/>
      <c r="AW110" s="44"/>
      <c r="AX110" s="44"/>
      <c r="AY110" s="44"/>
      <c r="AZ110" s="54">
        <v>46311</v>
      </c>
      <c r="BA110" s="60" t="s">
        <v>201</v>
      </c>
      <c r="BB110" s="61" t="s">
        <v>201</v>
      </c>
      <c r="BC110" s="61" t="s">
        <v>201</v>
      </c>
      <c r="BD110" s="61" t="s">
        <v>201</v>
      </c>
      <c r="BE110" s="61" t="s">
        <v>201</v>
      </c>
      <c r="BF110" s="61" t="s">
        <v>201</v>
      </c>
    </row>
    <row r="111" spans="1:58">
      <c r="A111" s="46" t="s">
        <v>201</v>
      </c>
      <c r="B111" s="44" t="s">
        <v>201</v>
      </c>
      <c r="C111" s="44" t="s">
        <v>201</v>
      </c>
      <c r="D111" s="44" t="s">
        <v>201</v>
      </c>
      <c r="E111" s="44" t="s">
        <v>201</v>
      </c>
      <c r="F111" s="44" t="s">
        <v>201</v>
      </c>
      <c r="G111" s="44" t="s">
        <v>201</v>
      </c>
      <c r="H111" s="44" t="s">
        <v>201</v>
      </c>
      <c r="I111" s="44" t="s">
        <v>201</v>
      </c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44"/>
      <c r="AH111" s="44"/>
      <c r="AI111" s="44"/>
      <c r="AJ111" s="44"/>
      <c r="AK111" s="44"/>
      <c r="AL111" s="44"/>
      <c r="AM111" s="44"/>
      <c r="AN111" s="44"/>
      <c r="AO111" s="44"/>
      <c r="AP111" s="44"/>
      <c r="AQ111" s="44"/>
      <c r="AR111" s="44"/>
      <c r="AS111" s="44"/>
      <c r="AT111" s="44"/>
      <c r="AU111" s="44"/>
      <c r="AV111" s="44"/>
      <c r="AW111" s="44"/>
      <c r="AX111" s="44"/>
      <c r="AY111" s="44"/>
      <c r="AZ111" s="53">
        <v>46312</v>
      </c>
      <c r="BA111" s="62" t="s">
        <v>201</v>
      </c>
      <c r="BB111" s="63" t="s">
        <v>201</v>
      </c>
      <c r="BC111" s="63" t="s">
        <v>201</v>
      </c>
      <c r="BD111" s="63" t="s">
        <v>201</v>
      </c>
      <c r="BE111" s="63" t="s">
        <v>201</v>
      </c>
      <c r="BF111" s="63" t="s">
        <v>201</v>
      </c>
    </row>
    <row r="112" spans="1:58">
      <c r="A112" s="46" t="s">
        <v>201</v>
      </c>
      <c r="B112" s="44" t="s">
        <v>201</v>
      </c>
      <c r="C112" s="44" t="s">
        <v>201</v>
      </c>
      <c r="D112" s="44" t="s">
        <v>201</v>
      </c>
      <c r="E112" s="44" t="s">
        <v>201</v>
      </c>
      <c r="F112" s="44" t="s">
        <v>201</v>
      </c>
      <c r="G112" s="44" t="s">
        <v>201</v>
      </c>
      <c r="H112" s="44" t="s">
        <v>201</v>
      </c>
      <c r="I112" s="44" t="s">
        <v>201</v>
      </c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  <c r="AF112" s="44"/>
      <c r="AG112" s="44"/>
      <c r="AH112" s="44"/>
      <c r="AI112" s="44"/>
      <c r="AJ112" s="44"/>
      <c r="AK112" s="44"/>
      <c r="AL112" s="44"/>
      <c r="AM112" s="44"/>
      <c r="AN112" s="44"/>
      <c r="AO112" s="44"/>
      <c r="AP112" s="44"/>
      <c r="AQ112" s="44"/>
      <c r="AR112" s="44"/>
      <c r="AS112" s="44"/>
      <c r="AT112" s="44"/>
      <c r="AU112" s="44"/>
      <c r="AV112" s="44"/>
      <c r="AW112" s="44"/>
      <c r="AX112" s="44"/>
      <c r="AY112" s="44"/>
      <c r="AZ112" s="54">
        <v>46313</v>
      </c>
      <c r="BA112" s="60" t="s">
        <v>201</v>
      </c>
      <c r="BB112" s="61" t="s">
        <v>201</v>
      </c>
      <c r="BC112" s="61" t="s">
        <v>201</v>
      </c>
      <c r="BD112" s="61" t="s">
        <v>201</v>
      </c>
      <c r="BE112" s="61" t="s">
        <v>201</v>
      </c>
      <c r="BF112" s="61" t="s">
        <v>201</v>
      </c>
    </row>
    <row r="113" spans="1:58">
      <c r="A113" s="46" t="s">
        <v>201</v>
      </c>
      <c r="B113" s="44" t="s">
        <v>201</v>
      </c>
      <c r="C113" s="44" t="s">
        <v>201</v>
      </c>
      <c r="D113" s="44" t="s">
        <v>201</v>
      </c>
      <c r="E113" s="44" t="s">
        <v>201</v>
      </c>
      <c r="F113" s="44" t="s">
        <v>201</v>
      </c>
      <c r="G113" s="44" t="s">
        <v>201</v>
      </c>
      <c r="H113" s="44" t="s">
        <v>201</v>
      </c>
      <c r="I113" s="44" t="s">
        <v>201</v>
      </c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/>
      <c r="AT113" s="44"/>
      <c r="AU113" s="44"/>
      <c r="AV113" s="44"/>
      <c r="AW113" s="44"/>
      <c r="AX113" s="44"/>
      <c r="AY113" s="44"/>
      <c r="AZ113" s="53">
        <v>46314</v>
      </c>
      <c r="BA113" s="62" t="s">
        <v>201</v>
      </c>
      <c r="BB113" s="63" t="s">
        <v>201</v>
      </c>
      <c r="BC113" s="63" t="s">
        <v>201</v>
      </c>
      <c r="BD113" s="63" t="s">
        <v>201</v>
      </c>
      <c r="BE113" s="63" t="s">
        <v>201</v>
      </c>
      <c r="BF113" s="63" t="s">
        <v>201</v>
      </c>
    </row>
    <row r="114" spans="1:58">
      <c r="A114" s="46" t="s">
        <v>201</v>
      </c>
      <c r="B114" s="44" t="s">
        <v>201</v>
      </c>
      <c r="C114" s="44" t="s">
        <v>201</v>
      </c>
      <c r="D114" s="44" t="s">
        <v>201</v>
      </c>
      <c r="E114" s="44" t="s">
        <v>201</v>
      </c>
      <c r="F114" s="44" t="s">
        <v>201</v>
      </c>
      <c r="G114" s="44" t="s">
        <v>201</v>
      </c>
      <c r="H114" s="44" t="s">
        <v>201</v>
      </c>
      <c r="I114" s="44" t="s">
        <v>201</v>
      </c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  <c r="AF114" s="44"/>
      <c r="AG114" s="44"/>
      <c r="AH114" s="44"/>
      <c r="AI114" s="44"/>
      <c r="AJ114" s="44"/>
      <c r="AK114" s="44"/>
      <c r="AL114" s="44"/>
      <c r="AM114" s="44"/>
      <c r="AN114" s="44"/>
      <c r="AO114" s="44"/>
      <c r="AP114" s="44"/>
      <c r="AQ114" s="44"/>
      <c r="AR114" s="44"/>
      <c r="AS114" s="44"/>
      <c r="AT114" s="44"/>
      <c r="AU114" s="44"/>
      <c r="AV114" s="44"/>
      <c r="AW114" s="44"/>
      <c r="AX114" s="44"/>
      <c r="AY114" s="44"/>
      <c r="AZ114" s="54">
        <v>46315</v>
      </c>
      <c r="BA114" s="60" t="s">
        <v>201</v>
      </c>
      <c r="BB114" s="61" t="s">
        <v>201</v>
      </c>
      <c r="BC114" s="61" t="s">
        <v>201</v>
      </c>
      <c r="BD114" s="61" t="s">
        <v>201</v>
      </c>
      <c r="BE114" s="61" t="s">
        <v>201</v>
      </c>
      <c r="BF114" s="61" t="s">
        <v>201</v>
      </c>
    </row>
    <row r="115" spans="1:58">
      <c r="A115" s="46" t="s">
        <v>201</v>
      </c>
      <c r="B115" s="44" t="s">
        <v>201</v>
      </c>
      <c r="C115" s="44" t="s">
        <v>201</v>
      </c>
      <c r="D115" s="44" t="s">
        <v>201</v>
      </c>
      <c r="E115" s="44" t="s">
        <v>201</v>
      </c>
      <c r="F115" s="44" t="s">
        <v>201</v>
      </c>
      <c r="G115" s="44" t="s">
        <v>201</v>
      </c>
      <c r="H115" s="44" t="s">
        <v>201</v>
      </c>
      <c r="I115" s="44" t="s">
        <v>201</v>
      </c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44"/>
      <c r="AG115" s="44"/>
      <c r="AH115" s="44"/>
      <c r="AI115" s="44"/>
      <c r="AJ115" s="44"/>
      <c r="AK115" s="44"/>
      <c r="AL115" s="44"/>
      <c r="AM115" s="44"/>
      <c r="AN115" s="44"/>
      <c r="AO115" s="44"/>
      <c r="AP115" s="44"/>
      <c r="AQ115" s="44"/>
      <c r="AR115" s="44"/>
      <c r="AS115" s="44"/>
      <c r="AT115" s="44"/>
      <c r="AU115" s="44"/>
      <c r="AV115" s="44"/>
      <c r="AW115" s="44"/>
      <c r="AX115" s="44"/>
      <c r="AY115" s="44"/>
      <c r="AZ115" s="53">
        <v>46316</v>
      </c>
      <c r="BA115" s="62" t="s">
        <v>201</v>
      </c>
      <c r="BB115" s="63" t="s">
        <v>201</v>
      </c>
      <c r="BC115" s="63" t="s">
        <v>201</v>
      </c>
      <c r="BD115" s="63" t="s">
        <v>201</v>
      </c>
      <c r="BE115" s="63" t="s">
        <v>201</v>
      </c>
      <c r="BF115" s="63" t="s">
        <v>201</v>
      </c>
    </row>
    <row r="116" spans="1:58">
      <c r="A116" s="46" t="s">
        <v>201</v>
      </c>
      <c r="B116" s="44" t="s">
        <v>201</v>
      </c>
      <c r="C116" s="44" t="s">
        <v>201</v>
      </c>
      <c r="D116" s="44" t="s">
        <v>201</v>
      </c>
      <c r="E116" s="44" t="s">
        <v>201</v>
      </c>
      <c r="F116" s="44" t="s">
        <v>201</v>
      </c>
      <c r="G116" s="44" t="s">
        <v>201</v>
      </c>
      <c r="H116" s="44" t="s">
        <v>201</v>
      </c>
      <c r="I116" s="44" t="s">
        <v>201</v>
      </c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  <c r="AE116" s="44"/>
      <c r="AF116" s="44"/>
      <c r="AG116" s="44"/>
      <c r="AH116" s="44"/>
      <c r="AI116" s="44"/>
      <c r="AJ116" s="44"/>
      <c r="AK116" s="44"/>
      <c r="AL116" s="44"/>
      <c r="AM116" s="44"/>
      <c r="AN116" s="44"/>
      <c r="AO116" s="44"/>
      <c r="AP116" s="44"/>
      <c r="AQ116" s="44"/>
      <c r="AR116" s="44"/>
      <c r="AS116" s="44"/>
      <c r="AT116" s="44"/>
      <c r="AU116" s="44"/>
      <c r="AV116" s="44"/>
      <c r="AW116" s="44"/>
      <c r="AX116" s="44"/>
      <c r="AY116" s="44"/>
      <c r="AZ116" s="54">
        <v>46317</v>
      </c>
      <c r="BA116" s="60" t="s">
        <v>201</v>
      </c>
      <c r="BB116" s="61" t="s">
        <v>201</v>
      </c>
      <c r="BC116" s="61" t="s">
        <v>201</v>
      </c>
      <c r="BD116" s="61" t="s">
        <v>201</v>
      </c>
      <c r="BE116" s="61" t="s">
        <v>201</v>
      </c>
      <c r="BF116" s="61" t="s">
        <v>201</v>
      </c>
    </row>
    <row r="117" spans="1:58">
      <c r="A117" s="46" t="s">
        <v>201</v>
      </c>
      <c r="B117" s="44" t="s">
        <v>201</v>
      </c>
      <c r="C117" s="44" t="s">
        <v>201</v>
      </c>
      <c r="D117" s="44" t="s">
        <v>201</v>
      </c>
      <c r="E117" s="44" t="s">
        <v>201</v>
      </c>
      <c r="F117" s="44" t="s">
        <v>201</v>
      </c>
      <c r="G117" s="44" t="s">
        <v>201</v>
      </c>
      <c r="H117" s="44" t="s">
        <v>201</v>
      </c>
      <c r="I117" s="44" t="s">
        <v>201</v>
      </c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44"/>
      <c r="AG117" s="44"/>
      <c r="AH117" s="44"/>
      <c r="AI117" s="44"/>
      <c r="AJ117" s="44"/>
      <c r="AK117" s="44"/>
      <c r="AL117" s="44"/>
      <c r="AM117" s="44"/>
      <c r="AN117" s="44"/>
      <c r="AO117" s="44"/>
      <c r="AP117" s="44"/>
      <c r="AQ117" s="44"/>
      <c r="AR117" s="44"/>
      <c r="AS117" s="44"/>
      <c r="AT117" s="44"/>
      <c r="AU117" s="44"/>
      <c r="AV117" s="44"/>
      <c r="AW117" s="44"/>
      <c r="AX117" s="44"/>
      <c r="AY117" s="44"/>
      <c r="AZ117" s="53">
        <v>46318</v>
      </c>
      <c r="BA117" s="62" t="s">
        <v>201</v>
      </c>
      <c r="BB117" s="63" t="s">
        <v>201</v>
      </c>
      <c r="BC117" s="63" t="s">
        <v>201</v>
      </c>
      <c r="BD117" s="63" t="s">
        <v>201</v>
      </c>
      <c r="BE117" s="63" t="s">
        <v>201</v>
      </c>
      <c r="BF117" s="63" t="s">
        <v>201</v>
      </c>
    </row>
    <row r="118" spans="1:58">
      <c r="A118" s="46" t="s">
        <v>201</v>
      </c>
      <c r="B118" s="44" t="s">
        <v>201</v>
      </c>
      <c r="C118" s="44" t="s">
        <v>201</v>
      </c>
      <c r="D118" s="44" t="s">
        <v>201</v>
      </c>
      <c r="E118" s="44" t="s">
        <v>201</v>
      </c>
      <c r="F118" s="44" t="s">
        <v>201</v>
      </c>
      <c r="G118" s="44" t="s">
        <v>201</v>
      </c>
      <c r="H118" s="44" t="s">
        <v>201</v>
      </c>
      <c r="I118" s="44" t="s">
        <v>201</v>
      </c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  <c r="AE118" s="44"/>
      <c r="AF118" s="44"/>
      <c r="AG118" s="44"/>
      <c r="AH118" s="44"/>
      <c r="AI118" s="44"/>
      <c r="AJ118" s="44"/>
      <c r="AK118" s="44"/>
      <c r="AL118" s="44"/>
      <c r="AM118" s="44"/>
      <c r="AN118" s="44"/>
      <c r="AO118" s="44"/>
      <c r="AP118" s="44"/>
      <c r="AQ118" s="44"/>
      <c r="AR118" s="44"/>
      <c r="AS118" s="44"/>
      <c r="AT118" s="44"/>
      <c r="AU118" s="44"/>
      <c r="AV118" s="44"/>
      <c r="AW118" s="44"/>
      <c r="AX118" s="44"/>
      <c r="AY118" s="44"/>
      <c r="AZ118" s="54">
        <v>46319</v>
      </c>
      <c r="BA118" s="60" t="s">
        <v>201</v>
      </c>
      <c r="BB118" s="61" t="s">
        <v>201</v>
      </c>
      <c r="BC118" s="61" t="s">
        <v>201</v>
      </c>
      <c r="BD118" s="61" t="s">
        <v>201</v>
      </c>
      <c r="BE118" s="61" t="s">
        <v>201</v>
      </c>
      <c r="BF118" s="61" t="s">
        <v>201</v>
      </c>
    </row>
    <row r="119" spans="1:58">
      <c r="A119" s="46" t="s">
        <v>201</v>
      </c>
      <c r="B119" s="44" t="s">
        <v>201</v>
      </c>
      <c r="C119" s="44" t="s">
        <v>201</v>
      </c>
      <c r="D119" s="44" t="s">
        <v>201</v>
      </c>
      <c r="E119" s="44" t="s">
        <v>201</v>
      </c>
      <c r="F119" s="44" t="s">
        <v>201</v>
      </c>
      <c r="G119" s="44" t="s">
        <v>201</v>
      </c>
      <c r="H119" s="44" t="s">
        <v>201</v>
      </c>
      <c r="I119" s="44" t="s">
        <v>201</v>
      </c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44"/>
      <c r="AG119" s="44"/>
      <c r="AH119" s="44"/>
      <c r="AI119" s="44"/>
      <c r="AJ119" s="44"/>
      <c r="AK119" s="44"/>
      <c r="AL119" s="44"/>
      <c r="AM119" s="44"/>
      <c r="AN119" s="44"/>
      <c r="AO119" s="44"/>
      <c r="AP119" s="44"/>
      <c r="AQ119" s="44"/>
      <c r="AR119" s="44"/>
      <c r="AS119" s="44"/>
      <c r="AT119" s="44"/>
      <c r="AU119" s="44"/>
      <c r="AV119" s="44"/>
      <c r="AW119" s="44"/>
      <c r="AX119" s="44"/>
      <c r="AY119" s="44"/>
      <c r="AZ119" s="53">
        <v>46320</v>
      </c>
      <c r="BA119" s="62" t="s">
        <v>201</v>
      </c>
      <c r="BB119" s="63" t="s">
        <v>201</v>
      </c>
      <c r="BC119" s="63" t="s">
        <v>201</v>
      </c>
      <c r="BD119" s="63" t="s">
        <v>201</v>
      </c>
      <c r="BE119" s="63" t="s">
        <v>201</v>
      </c>
      <c r="BF119" s="63" t="s">
        <v>201</v>
      </c>
    </row>
    <row r="120" spans="1:58">
      <c r="A120" s="46" t="s">
        <v>201</v>
      </c>
      <c r="B120" s="44" t="s">
        <v>201</v>
      </c>
      <c r="C120" s="44" t="s">
        <v>201</v>
      </c>
      <c r="D120" s="44" t="s">
        <v>201</v>
      </c>
      <c r="E120" s="44" t="s">
        <v>201</v>
      </c>
      <c r="F120" s="44" t="s">
        <v>201</v>
      </c>
      <c r="G120" s="44" t="s">
        <v>201</v>
      </c>
      <c r="H120" s="44" t="s">
        <v>201</v>
      </c>
      <c r="I120" s="44" t="s">
        <v>201</v>
      </c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  <c r="AH120" s="44"/>
      <c r="AI120" s="44"/>
      <c r="AJ120" s="44"/>
      <c r="AK120" s="44"/>
      <c r="AL120" s="44"/>
      <c r="AM120" s="44"/>
      <c r="AN120" s="44"/>
      <c r="AO120" s="44"/>
      <c r="AP120" s="44"/>
      <c r="AQ120" s="44"/>
      <c r="AR120" s="44"/>
      <c r="AS120" s="44"/>
      <c r="AT120" s="44"/>
      <c r="AU120" s="44"/>
      <c r="AV120" s="44"/>
      <c r="AW120" s="44"/>
      <c r="AX120" s="44"/>
      <c r="AY120" s="44"/>
      <c r="AZ120" s="54">
        <v>46321</v>
      </c>
      <c r="BA120" s="60" t="s">
        <v>201</v>
      </c>
      <c r="BB120" s="61" t="s">
        <v>201</v>
      </c>
      <c r="BC120" s="61" t="s">
        <v>201</v>
      </c>
      <c r="BD120" s="61" t="s">
        <v>201</v>
      </c>
      <c r="BE120" s="61" t="s">
        <v>201</v>
      </c>
      <c r="BF120" s="61" t="s">
        <v>201</v>
      </c>
    </row>
    <row r="121" spans="1:58">
      <c r="A121" s="46" t="s">
        <v>201</v>
      </c>
      <c r="B121" s="44" t="s">
        <v>201</v>
      </c>
      <c r="C121" s="44" t="s">
        <v>201</v>
      </c>
      <c r="D121" s="44" t="s">
        <v>201</v>
      </c>
      <c r="E121" s="44" t="s">
        <v>201</v>
      </c>
      <c r="F121" s="44" t="s">
        <v>201</v>
      </c>
      <c r="G121" s="44" t="s">
        <v>201</v>
      </c>
      <c r="H121" s="44" t="s">
        <v>201</v>
      </c>
      <c r="I121" s="44" t="s">
        <v>201</v>
      </c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H121" s="44"/>
      <c r="AI121" s="44"/>
      <c r="AJ121" s="44"/>
      <c r="AK121" s="44"/>
      <c r="AL121" s="44"/>
      <c r="AM121" s="44"/>
      <c r="AN121" s="44"/>
      <c r="AO121" s="44"/>
      <c r="AP121" s="44"/>
      <c r="AQ121" s="44"/>
      <c r="AR121" s="44"/>
      <c r="AS121" s="44"/>
      <c r="AT121" s="44"/>
      <c r="AU121" s="44"/>
      <c r="AV121" s="44"/>
      <c r="AW121" s="44"/>
      <c r="AX121" s="44"/>
      <c r="AY121" s="44"/>
      <c r="AZ121" s="53">
        <v>46322</v>
      </c>
      <c r="BA121" s="62" t="s">
        <v>201</v>
      </c>
      <c r="BB121" s="63" t="s">
        <v>201</v>
      </c>
      <c r="BC121" s="63" t="s">
        <v>201</v>
      </c>
      <c r="BD121" s="63" t="s">
        <v>201</v>
      </c>
      <c r="BE121" s="63" t="s">
        <v>201</v>
      </c>
      <c r="BF121" s="63" t="s">
        <v>201</v>
      </c>
    </row>
    <row r="122" spans="1:58">
      <c r="A122" s="46" t="s">
        <v>201</v>
      </c>
      <c r="B122" s="44" t="s">
        <v>201</v>
      </c>
      <c r="C122" s="44" t="s">
        <v>201</v>
      </c>
      <c r="D122" s="44" t="s">
        <v>201</v>
      </c>
      <c r="E122" s="44" t="s">
        <v>201</v>
      </c>
      <c r="F122" s="44" t="s">
        <v>201</v>
      </c>
      <c r="G122" s="44" t="s">
        <v>201</v>
      </c>
      <c r="H122" s="44" t="s">
        <v>201</v>
      </c>
      <c r="I122" s="44" t="s">
        <v>201</v>
      </c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  <c r="AE122" s="44"/>
      <c r="AF122" s="44"/>
      <c r="AG122" s="44"/>
      <c r="AH122" s="44"/>
      <c r="AI122" s="44"/>
      <c r="AJ122" s="44"/>
      <c r="AK122" s="44"/>
      <c r="AL122" s="44"/>
      <c r="AM122" s="44"/>
      <c r="AN122" s="44"/>
      <c r="AO122" s="44"/>
      <c r="AP122" s="44"/>
      <c r="AQ122" s="44"/>
      <c r="AR122" s="44"/>
      <c r="AS122" s="44"/>
      <c r="AT122" s="44"/>
      <c r="AU122" s="44"/>
      <c r="AV122" s="44"/>
      <c r="AW122" s="44"/>
      <c r="AX122" s="44"/>
      <c r="AY122" s="44"/>
      <c r="AZ122" s="54">
        <v>46323</v>
      </c>
      <c r="BA122" s="60" t="s">
        <v>201</v>
      </c>
      <c r="BB122" s="61" t="s">
        <v>201</v>
      </c>
      <c r="BC122" s="61" t="s">
        <v>201</v>
      </c>
      <c r="BD122" s="61" t="s">
        <v>201</v>
      </c>
      <c r="BE122" s="61" t="s">
        <v>201</v>
      </c>
      <c r="BF122" s="61" t="s">
        <v>201</v>
      </c>
    </row>
    <row r="123" spans="1:58">
      <c r="A123" s="46" t="s">
        <v>201</v>
      </c>
      <c r="B123" s="44" t="s">
        <v>201</v>
      </c>
      <c r="C123" s="44" t="s">
        <v>201</v>
      </c>
      <c r="D123" s="44" t="s">
        <v>201</v>
      </c>
      <c r="E123" s="44" t="s">
        <v>201</v>
      </c>
      <c r="F123" s="44" t="s">
        <v>201</v>
      </c>
      <c r="G123" s="44" t="s">
        <v>201</v>
      </c>
      <c r="H123" s="44" t="s">
        <v>201</v>
      </c>
      <c r="I123" s="44" t="s">
        <v>201</v>
      </c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  <c r="AH123" s="44"/>
      <c r="AI123" s="44"/>
      <c r="AJ123" s="44"/>
      <c r="AK123" s="44"/>
      <c r="AL123" s="44"/>
      <c r="AM123" s="44"/>
      <c r="AN123" s="44"/>
      <c r="AO123" s="44"/>
      <c r="AP123" s="44"/>
      <c r="AQ123" s="44"/>
      <c r="AR123" s="44"/>
      <c r="AS123" s="44"/>
      <c r="AT123" s="44"/>
      <c r="AU123" s="44"/>
      <c r="AV123" s="44"/>
      <c r="AW123" s="44"/>
      <c r="AX123" s="44"/>
      <c r="AY123" s="44"/>
      <c r="AZ123" s="53">
        <v>46324</v>
      </c>
      <c r="BA123" s="62" t="s">
        <v>201</v>
      </c>
      <c r="BB123" s="63" t="s">
        <v>201</v>
      </c>
      <c r="BC123" s="63" t="s">
        <v>201</v>
      </c>
      <c r="BD123" s="63" t="s">
        <v>201</v>
      </c>
      <c r="BE123" s="63" t="s">
        <v>201</v>
      </c>
      <c r="BF123" s="63" t="s">
        <v>201</v>
      </c>
    </row>
    <row r="124" spans="1:58">
      <c r="A124" s="46" t="s">
        <v>201</v>
      </c>
      <c r="B124" s="44" t="s">
        <v>201</v>
      </c>
      <c r="C124" s="44" t="s">
        <v>201</v>
      </c>
      <c r="D124" s="44" t="s">
        <v>201</v>
      </c>
      <c r="E124" s="44" t="s">
        <v>201</v>
      </c>
      <c r="F124" s="44" t="s">
        <v>201</v>
      </c>
      <c r="G124" s="44" t="s">
        <v>201</v>
      </c>
      <c r="H124" s="44" t="s">
        <v>201</v>
      </c>
      <c r="I124" s="44" t="s">
        <v>201</v>
      </c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  <c r="AG124" s="44"/>
      <c r="AH124" s="44"/>
      <c r="AI124" s="44"/>
      <c r="AJ124" s="44"/>
      <c r="AK124" s="44"/>
      <c r="AL124" s="44"/>
      <c r="AM124" s="44"/>
      <c r="AN124" s="44"/>
      <c r="AO124" s="44"/>
      <c r="AP124" s="44"/>
      <c r="AQ124" s="44"/>
      <c r="AR124" s="44"/>
      <c r="AS124" s="44"/>
      <c r="AT124" s="44"/>
      <c r="AU124" s="44"/>
      <c r="AV124" s="44"/>
      <c r="AW124" s="44"/>
      <c r="AX124" s="44"/>
      <c r="AY124" s="44"/>
      <c r="AZ124" s="54">
        <v>46325</v>
      </c>
      <c r="BA124" s="60" t="s">
        <v>201</v>
      </c>
      <c r="BB124" s="61" t="s">
        <v>201</v>
      </c>
      <c r="BC124" s="61" t="s">
        <v>201</v>
      </c>
      <c r="BD124" s="61" t="s">
        <v>201</v>
      </c>
      <c r="BE124" s="61" t="s">
        <v>201</v>
      </c>
      <c r="BF124" s="61" t="s">
        <v>201</v>
      </c>
    </row>
    <row r="125" spans="1:58">
      <c r="A125" s="46" t="s">
        <v>201</v>
      </c>
      <c r="B125" s="44" t="s">
        <v>201</v>
      </c>
      <c r="C125" s="44" t="s">
        <v>201</v>
      </c>
      <c r="D125" s="44" t="s">
        <v>201</v>
      </c>
      <c r="E125" s="44" t="s">
        <v>201</v>
      </c>
      <c r="F125" s="44" t="s">
        <v>201</v>
      </c>
      <c r="G125" s="44" t="s">
        <v>201</v>
      </c>
      <c r="H125" s="44" t="s">
        <v>201</v>
      </c>
      <c r="I125" s="44" t="s">
        <v>201</v>
      </c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  <c r="AG125" s="44"/>
      <c r="AH125" s="44"/>
      <c r="AI125" s="44"/>
      <c r="AJ125" s="44"/>
      <c r="AK125" s="44"/>
      <c r="AL125" s="44"/>
      <c r="AM125" s="44"/>
      <c r="AN125" s="44"/>
      <c r="AO125" s="44"/>
      <c r="AP125" s="44"/>
      <c r="AQ125" s="44"/>
      <c r="AR125" s="44"/>
      <c r="AS125" s="44"/>
      <c r="AT125" s="44"/>
      <c r="AU125" s="44"/>
      <c r="AV125" s="44"/>
      <c r="AW125" s="44"/>
      <c r="AX125" s="44"/>
      <c r="AY125" s="44"/>
      <c r="AZ125" s="53">
        <v>46326</v>
      </c>
      <c r="BA125" s="62" t="s">
        <v>201</v>
      </c>
      <c r="BB125" s="63" t="s">
        <v>201</v>
      </c>
      <c r="BC125" s="63" t="s">
        <v>201</v>
      </c>
      <c r="BD125" s="63" t="s">
        <v>201</v>
      </c>
      <c r="BE125" s="63" t="s">
        <v>201</v>
      </c>
      <c r="BF125" s="63" t="s">
        <v>201</v>
      </c>
    </row>
    <row r="126" spans="1:58">
      <c r="A126" s="46" t="s">
        <v>201</v>
      </c>
      <c r="B126" s="44" t="s">
        <v>201</v>
      </c>
      <c r="C126" s="44" t="s">
        <v>201</v>
      </c>
      <c r="D126" s="44" t="s">
        <v>201</v>
      </c>
      <c r="E126" s="44" t="s">
        <v>201</v>
      </c>
      <c r="F126" s="44" t="s">
        <v>201</v>
      </c>
      <c r="G126" s="44" t="s">
        <v>201</v>
      </c>
      <c r="H126" s="44" t="s">
        <v>201</v>
      </c>
      <c r="I126" s="44" t="s">
        <v>201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/>
      <c r="AX126" s="44"/>
      <c r="AY126" s="44"/>
      <c r="AZ126" s="54">
        <v>46327</v>
      </c>
      <c r="BA126" s="60" t="s">
        <v>201</v>
      </c>
      <c r="BB126" s="61" t="s">
        <v>201</v>
      </c>
      <c r="BC126" s="61" t="s">
        <v>201</v>
      </c>
      <c r="BD126" s="61" t="s">
        <v>201</v>
      </c>
      <c r="BE126" s="61" t="s">
        <v>201</v>
      </c>
      <c r="BF126" s="61" t="s">
        <v>201</v>
      </c>
    </row>
    <row r="127" spans="1:58">
      <c r="A127" s="46" t="s">
        <v>201</v>
      </c>
      <c r="B127" s="44" t="s">
        <v>201</v>
      </c>
      <c r="C127" s="44" t="s">
        <v>201</v>
      </c>
      <c r="D127" s="44" t="s">
        <v>201</v>
      </c>
      <c r="E127" s="44" t="s">
        <v>201</v>
      </c>
      <c r="F127" s="44" t="s">
        <v>201</v>
      </c>
      <c r="G127" s="44" t="s">
        <v>201</v>
      </c>
      <c r="H127" s="44" t="s">
        <v>201</v>
      </c>
      <c r="I127" s="44" t="s">
        <v>201</v>
      </c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53">
        <v>46328</v>
      </c>
      <c r="BA127" s="62" t="s">
        <v>201</v>
      </c>
      <c r="BB127" s="63" t="s">
        <v>201</v>
      </c>
      <c r="BC127" s="63" t="s">
        <v>201</v>
      </c>
      <c r="BD127" s="63" t="s">
        <v>201</v>
      </c>
      <c r="BE127" s="63" t="s">
        <v>201</v>
      </c>
      <c r="BF127" s="63" t="s">
        <v>201</v>
      </c>
    </row>
    <row r="128" spans="1:58">
      <c r="A128" s="46" t="s">
        <v>201</v>
      </c>
      <c r="B128" s="44" t="s">
        <v>201</v>
      </c>
      <c r="C128" s="44" t="s">
        <v>201</v>
      </c>
      <c r="D128" s="44" t="s">
        <v>201</v>
      </c>
      <c r="E128" s="44" t="s">
        <v>201</v>
      </c>
      <c r="F128" s="44" t="s">
        <v>201</v>
      </c>
      <c r="G128" s="44" t="s">
        <v>201</v>
      </c>
      <c r="H128" s="44" t="s">
        <v>201</v>
      </c>
      <c r="I128" s="44" t="s">
        <v>201</v>
      </c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  <c r="AG128" s="44"/>
      <c r="AH128" s="44"/>
      <c r="AI128" s="44"/>
      <c r="AJ128" s="44"/>
      <c r="AK128" s="44"/>
      <c r="AL128" s="44"/>
      <c r="AM128" s="44"/>
      <c r="AN128" s="44"/>
      <c r="AO128" s="44"/>
      <c r="AP128" s="44"/>
      <c r="AQ128" s="44"/>
      <c r="AR128" s="44"/>
      <c r="AS128" s="44"/>
      <c r="AT128" s="44"/>
      <c r="AU128" s="44"/>
      <c r="AV128" s="44"/>
      <c r="AW128" s="44"/>
      <c r="AX128" s="44"/>
      <c r="AY128" s="44"/>
      <c r="AZ128" s="54">
        <v>46329</v>
      </c>
      <c r="BA128" s="60" t="s">
        <v>201</v>
      </c>
      <c r="BB128" s="61" t="s">
        <v>201</v>
      </c>
      <c r="BC128" s="61" t="s">
        <v>201</v>
      </c>
      <c r="BD128" s="61" t="s">
        <v>201</v>
      </c>
      <c r="BE128" s="61" t="s">
        <v>201</v>
      </c>
      <c r="BF128" s="61" t="s">
        <v>201</v>
      </c>
    </row>
    <row r="129" spans="1:58">
      <c r="A129" s="46" t="s">
        <v>201</v>
      </c>
      <c r="B129" s="44" t="s">
        <v>201</v>
      </c>
      <c r="C129" s="44" t="s">
        <v>201</v>
      </c>
      <c r="D129" s="44" t="s">
        <v>201</v>
      </c>
      <c r="E129" s="44" t="s">
        <v>201</v>
      </c>
      <c r="F129" s="44" t="s">
        <v>201</v>
      </c>
      <c r="G129" s="44" t="s">
        <v>201</v>
      </c>
      <c r="H129" s="44" t="s">
        <v>201</v>
      </c>
      <c r="I129" s="44" t="s">
        <v>201</v>
      </c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44"/>
      <c r="AL129" s="44"/>
      <c r="AM129" s="44"/>
      <c r="AN129" s="44"/>
      <c r="AO129" s="44"/>
      <c r="AP129" s="44"/>
      <c r="AQ129" s="44"/>
      <c r="AR129" s="44"/>
      <c r="AS129" s="44"/>
      <c r="AT129" s="44"/>
      <c r="AU129" s="44"/>
      <c r="AV129" s="44"/>
      <c r="AW129" s="44"/>
      <c r="AX129" s="44"/>
      <c r="AY129" s="44"/>
      <c r="AZ129" s="53">
        <v>46330</v>
      </c>
      <c r="BA129" s="62" t="s">
        <v>201</v>
      </c>
      <c r="BB129" s="63" t="s">
        <v>201</v>
      </c>
      <c r="BC129" s="63" t="s">
        <v>201</v>
      </c>
      <c r="BD129" s="63" t="s">
        <v>201</v>
      </c>
      <c r="BE129" s="63" t="s">
        <v>201</v>
      </c>
      <c r="BF129" s="63" t="s">
        <v>201</v>
      </c>
    </row>
    <row r="130" spans="1:58">
      <c r="A130" s="46" t="s">
        <v>201</v>
      </c>
      <c r="B130" s="44" t="s">
        <v>201</v>
      </c>
      <c r="C130" s="44" t="s">
        <v>201</v>
      </c>
      <c r="D130" s="44" t="s">
        <v>201</v>
      </c>
      <c r="E130" s="44" t="s">
        <v>201</v>
      </c>
      <c r="F130" s="44" t="s">
        <v>201</v>
      </c>
      <c r="G130" s="44" t="s">
        <v>201</v>
      </c>
      <c r="H130" s="44" t="s">
        <v>201</v>
      </c>
      <c r="I130" s="44" t="s">
        <v>201</v>
      </c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54">
        <v>46331</v>
      </c>
      <c r="BA130" s="60" t="s">
        <v>201</v>
      </c>
      <c r="BB130" s="61" t="s">
        <v>201</v>
      </c>
      <c r="BC130" s="61" t="s">
        <v>201</v>
      </c>
      <c r="BD130" s="61" t="s">
        <v>201</v>
      </c>
      <c r="BE130" s="61" t="s">
        <v>201</v>
      </c>
      <c r="BF130" s="61" t="s">
        <v>201</v>
      </c>
    </row>
    <row r="131" spans="1:58">
      <c r="A131" s="46" t="s">
        <v>201</v>
      </c>
      <c r="B131" s="44" t="s">
        <v>201</v>
      </c>
      <c r="C131" s="44" t="s">
        <v>201</v>
      </c>
      <c r="D131" s="44" t="s">
        <v>201</v>
      </c>
      <c r="E131" s="44" t="s">
        <v>201</v>
      </c>
      <c r="F131" s="44" t="s">
        <v>201</v>
      </c>
      <c r="G131" s="44" t="s">
        <v>201</v>
      </c>
      <c r="H131" s="44" t="s">
        <v>201</v>
      </c>
      <c r="I131" s="44" t="s">
        <v>201</v>
      </c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53">
        <v>46332</v>
      </c>
      <c r="BA131" s="62" t="s">
        <v>201</v>
      </c>
      <c r="BB131" s="63" t="s">
        <v>201</v>
      </c>
      <c r="BC131" s="63" t="s">
        <v>201</v>
      </c>
      <c r="BD131" s="63" t="s">
        <v>201</v>
      </c>
      <c r="BE131" s="63" t="s">
        <v>201</v>
      </c>
      <c r="BF131" s="63" t="s">
        <v>201</v>
      </c>
    </row>
    <row r="132" spans="1:58">
      <c r="A132" s="46" t="s">
        <v>201</v>
      </c>
      <c r="B132" s="44" t="s">
        <v>201</v>
      </c>
      <c r="C132" s="44" t="s">
        <v>201</v>
      </c>
      <c r="D132" s="44" t="s">
        <v>201</v>
      </c>
      <c r="E132" s="44" t="s">
        <v>201</v>
      </c>
      <c r="F132" s="44" t="s">
        <v>201</v>
      </c>
      <c r="G132" s="44" t="s">
        <v>201</v>
      </c>
      <c r="H132" s="44" t="s">
        <v>201</v>
      </c>
      <c r="I132" s="44" t="s">
        <v>201</v>
      </c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54">
        <v>46333</v>
      </c>
      <c r="BA132" s="60" t="s">
        <v>201</v>
      </c>
      <c r="BB132" s="61" t="s">
        <v>201</v>
      </c>
      <c r="BC132" s="61" t="s">
        <v>201</v>
      </c>
      <c r="BD132" s="61" t="s">
        <v>201</v>
      </c>
      <c r="BE132" s="61" t="s">
        <v>201</v>
      </c>
      <c r="BF132" s="61" t="s">
        <v>201</v>
      </c>
    </row>
    <row r="133" spans="1:58">
      <c r="A133" s="46" t="s">
        <v>201</v>
      </c>
      <c r="B133" s="44" t="s">
        <v>201</v>
      </c>
      <c r="C133" s="44" t="s">
        <v>201</v>
      </c>
      <c r="D133" s="44" t="s">
        <v>201</v>
      </c>
      <c r="E133" s="44" t="s">
        <v>201</v>
      </c>
      <c r="F133" s="44" t="s">
        <v>201</v>
      </c>
      <c r="G133" s="44" t="s">
        <v>201</v>
      </c>
      <c r="H133" s="44" t="s">
        <v>201</v>
      </c>
      <c r="I133" s="44" t="s">
        <v>201</v>
      </c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53">
        <v>46334</v>
      </c>
      <c r="BA133" s="62" t="s">
        <v>201</v>
      </c>
      <c r="BB133" s="63" t="s">
        <v>201</v>
      </c>
      <c r="BC133" s="63" t="s">
        <v>201</v>
      </c>
      <c r="BD133" s="63" t="s">
        <v>201</v>
      </c>
      <c r="BE133" s="63" t="s">
        <v>201</v>
      </c>
      <c r="BF133" s="63" t="s">
        <v>201</v>
      </c>
    </row>
    <row r="134" spans="1:58">
      <c r="A134" s="46" t="s">
        <v>201</v>
      </c>
      <c r="B134" s="44" t="s">
        <v>201</v>
      </c>
      <c r="C134" s="44" t="s">
        <v>201</v>
      </c>
      <c r="D134" s="44" t="s">
        <v>201</v>
      </c>
      <c r="E134" s="44" t="s">
        <v>201</v>
      </c>
      <c r="F134" s="44" t="s">
        <v>201</v>
      </c>
      <c r="G134" s="44" t="s">
        <v>201</v>
      </c>
      <c r="H134" s="44" t="s">
        <v>201</v>
      </c>
      <c r="I134" s="44" t="s">
        <v>201</v>
      </c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54">
        <v>46335</v>
      </c>
      <c r="BA134" s="60" t="s">
        <v>201</v>
      </c>
      <c r="BB134" s="61" t="s">
        <v>201</v>
      </c>
      <c r="BC134" s="61" t="s">
        <v>201</v>
      </c>
      <c r="BD134" s="61" t="s">
        <v>201</v>
      </c>
      <c r="BE134" s="61" t="s">
        <v>201</v>
      </c>
      <c r="BF134" s="61" t="s">
        <v>201</v>
      </c>
    </row>
    <row r="135" spans="1:58">
      <c r="A135" s="46" t="s">
        <v>201</v>
      </c>
      <c r="B135" s="44" t="s">
        <v>201</v>
      </c>
      <c r="C135" s="44" t="s">
        <v>201</v>
      </c>
      <c r="D135" s="44" t="s">
        <v>201</v>
      </c>
      <c r="E135" s="44" t="s">
        <v>201</v>
      </c>
      <c r="F135" s="44" t="s">
        <v>201</v>
      </c>
      <c r="G135" s="44" t="s">
        <v>201</v>
      </c>
      <c r="H135" s="44" t="s">
        <v>201</v>
      </c>
      <c r="I135" s="44" t="s">
        <v>201</v>
      </c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53">
        <v>46336</v>
      </c>
      <c r="BA135" s="62" t="s">
        <v>201</v>
      </c>
      <c r="BB135" s="63" t="s">
        <v>201</v>
      </c>
      <c r="BC135" s="63" t="s">
        <v>201</v>
      </c>
      <c r="BD135" s="63" t="s">
        <v>201</v>
      </c>
      <c r="BE135" s="63" t="s">
        <v>201</v>
      </c>
      <c r="BF135" s="63" t="s">
        <v>201</v>
      </c>
    </row>
    <row r="136" spans="1:58">
      <c r="A136" s="46" t="s">
        <v>201</v>
      </c>
      <c r="B136" s="44" t="s">
        <v>201</v>
      </c>
      <c r="C136" s="44" t="s">
        <v>201</v>
      </c>
      <c r="D136" s="44" t="s">
        <v>201</v>
      </c>
      <c r="E136" s="44" t="s">
        <v>201</v>
      </c>
      <c r="F136" s="44" t="s">
        <v>201</v>
      </c>
      <c r="G136" s="44" t="s">
        <v>201</v>
      </c>
      <c r="H136" s="44" t="s">
        <v>201</v>
      </c>
      <c r="I136" s="44" t="s">
        <v>201</v>
      </c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54">
        <v>46337</v>
      </c>
      <c r="BA136" s="60" t="s">
        <v>201</v>
      </c>
      <c r="BB136" s="61" t="s">
        <v>201</v>
      </c>
      <c r="BC136" s="61" t="s">
        <v>201</v>
      </c>
      <c r="BD136" s="61" t="s">
        <v>201</v>
      </c>
      <c r="BE136" s="61" t="s">
        <v>201</v>
      </c>
      <c r="BF136" s="61" t="s">
        <v>201</v>
      </c>
    </row>
    <row r="137" spans="1:58">
      <c r="A137" s="46" t="s">
        <v>201</v>
      </c>
      <c r="B137" s="44" t="s">
        <v>201</v>
      </c>
      <c r="C137" s="44" t="s">
        <v>201</v>
      </c>
      <c r="D137" s="44" t="s">
        <v>201</v>
      </c>
      <c r="E137" s="44" t="s">
        <v>201</v>
      </c>
      <c r="F137" s="44" t="s">
        <v>201</v>
      </c>
      <c r="G137" s="44" t="s">
        <v>201</v>
      </c>
      <c r="H137" s="44" t="s">
        <v>201</v>
      </c>
      <c r="I137" s="44" t="s">
        <v>201</v>
      </c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53">
        <v>46338</v>
      </c>
      <c r="BA137" s="62" t="s">
        <v>201</v>
      </c>
      <c r="BB137" s="63" t="s">
        <v>201</v>
      </c>
      <c r="BC137" s="63" t="s">
        <v>201</v>
      </c>
      <c r="BD137" s="63" t="s">
        <v>201</v>
      </c>
      <c r="BE137" s="63" t="s">
        <v>201</v>
      </c>
      <c r="BF137" s="63" t="s">
        <v>201</v>
      </c>
    </row>
    <row r="138" spans="1:58">
      <c r="A138" s="46" t="s">
        <v>201</v>
      </c>
      <c r="B138" s="44" t="s">
        <v>201</v>
      </c>
      <c r="C138" s="44" t="s">
        <v>201</v>
      </c>
      <c r="D138" s="44" t="s">
        <v>201</v>
      </c>
      <c r="E138" s="44" t="s">
        <v>201</v>
      </c>
      <c r="F138" s="44" t="s">
        <v>201</v>
      </c>
      <c r="G138" s="44" t="s">
        <v>201</v>
      </c>
      <c r="H138" s="44" t="s">
        <v>201</v>
      </c>
      <c r="I138" s="44" t="s">
        <v>201</v>
      </c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54">
        <v>46339</v>
      </c>
      <c r="BA138" s="60" t="s">
        <v>201</v>
      </c>
      <c r="BB138" s="61" t="s">
        <v>201</v>
      </c>
      <c r="BC138" s="61" t="s">
        <v>201</v>
      </c>
      <c r="BD138" s="61" t="s">
        <v>201</v>
      </c>
      <c r="BE138" s="61" t="s">
        <v>201</v>
      </c>
      <c r="BF138" s="61" t="s">
        <v>201</v>
      </c>
    </row>
    <row r="139" spans="1:58">
      <c r="A139" s="46" t="s">
        <v>201</v>
      </c>
      <c r="B139" s="44" t="s">
        <v>201</v>
      </c>
      <c r="C139" s="44" t="s">
        <v>201</v>
      </c>
      <c r="D139" s="44" t="s">
        <v>201</v>
      </c>
      <c r="E139" s="44" t="s">
        <v>201</v>
      </c>
      <c r="F139" s="44" t="s">
        <v>201</v>
      </c>
      <c r="G139" s="44" t="s">
        <v>201</v>
      </c>
      <c r="H139" s="44" t="s">
        <v>201</v>
      </c>
      <c r="I139" s="44" t="s">
        <v>201</v>
      </c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53">
        <v>46340</v>
      </c>
      <c r="BA139" s="62" t="s">
        <v>201</v>
      </c>
      <c r="BB139" s="63" t="s">
        <v>201</v>
      </c>
      <c r="BC139" s="63" t="s">
        <v>201</v>
      </c>
      <c r="BD139" s="63" t="s">
        <v>201</v>
      </c>
      <c r="BE139" s="63" t="s">
        <v>201</v>
      </c>
      <c r="BF139" s="63" t="s">
        <v>201</v>
      </c>
    </row>
    <row r="140" spans="1:58">
      <c r="A140" s="46" t="s">
        <v>201</v>
      </c>
      <c r="B140" s="44" t="s">
        <v>201</v>
      </c>
      <c r="C140" s="44" t="s">
        <v>201</v>
      </c>
      <c r="D140" s="44" t="s">
        <v>201</v>
      </c>
      <c r="E140" s="44" t="s">
        <v>201</v>
      </c>
      <c r="F140" s="44" t="s">
        <v>201</v>
      </c>
      <c r="G140" s="44" t="s">
        <v>201</v>
      </c>
      <c r="H140" s="44" t="s">
        <v>201</v>
      </c>
      <c r="I140" s="44" t="s">
        <v>201</v>
      </c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  <c r="AE140" s="44"/>
      <c r="AF140" s="44"/>
      <c r="AG140" s="44"/>
      <c r="AH140" s="44"/>
      <c r="AI140" s="44"/>
      <c r="AJ140" s="44"/>
      <c r="AK140" s="44"/>
      <c r="AL140" s="44"/>
      <c r="AM140" s="44"/>
      <c r="AN140" s="44"/>
      <c r="AO140" s="44"/>
      <c r="AP140" s="44"/>
      <c r="AQ140" s="44"/>
      <c r="AR140" s="44"/>
      <c r="AS140" s="44"/>
      <c r="AT140" s="44"/>
      <c r="AU140" s="44"/>
      <c r="AV140" s="44"/>
      <c r="AW140" s="44"/>
      <c r="AX140" s="44"/>
      <c r="AY140" s="44"/>
      <c r="AZ140" s="54">
        <v>46341</v>
      </c>
      <c r="BA140" s="60" t="s">
        <v>201</v>
      </c>
      <c r="BB140" s="61" t="s">
        <v>201</v>
      </c>
      <c r="BC140" s="61" t="s">
        <v>201</v>
      </c>
      <c r="BD140" s="61" t="s">
        <v>201</v>
      </c>
      <c r="BE140" s="61" t="s">
        <v>201</v>
      </c>
      <c r="BF140" s="61" t="s">
        <v>201</v>
      </c>
    </row>
    <row r="141" spans="1:58">
      <c r="A141" s="46" t="s">
        <v>201</v>
      </c>
      <c r="B141" s="44" t="s">
        <v>201</v>
      </c>
      <c r="C141" s="44" t="s">
        <v>201</v>
      </c>
      <c r="D141" s="44" t="s">
        <v>201</v>
      </c>
      <c r="E141" s="44" t="s">
        <v>201</v>
      </c>
      <c r="F141" s="44" t="s">
        <v>201</v>
      </c>
      <c r="G141" s="44" t="s">
        <v>201</v>
      </c>
      <c r="H141" s="44" t="s">
        <v>201</v>
      </c>
      <c r="I141" s="44" t="s">
        <v>201</v>
      </c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  <c r="AH141" s="44"/>
      <c r="AI141" s="44"/>
      <c r="AJ141" s="44"/>
      <c r="AK141" s="44"/>
      <c r="AL141" s="44"/>
      <c r="AM141" s="44"/>
      <c r="AN141" s="44"/>
      <c r="AO141" s="44"/>
      <c r="AP141" s="44"/>
      <c r="AQ141" s="44"/>
      <c r="AR141" s="44"/>
      <c r="AS141" s="44"/>
      <c r="AT141" s="44"/>
      <c r="AU141" s="44"/>
      <c r="AV141" s="44"/>
      <c r="AW141" s="44"/>
      <c r="AX141" s="44"/>
      <c r="AY141" s="44"/>
      <c r="AZ141" s="53">
        <v>46342</v>
      </c>
      <c r="BA141" s="62" t="s">
        <v>201</v>
      </c>
      <c r="BB141" s="63" t="s">
        <v>201</v>
      </c>
      <c r="BC141" s="63" t="s">
        <v>201</v>
      </c>
      <c r="BD141" s="63" t="s">
        <v>201</v>
      </c>
      <c r="BE141" s="63" t="s">
        <v>201</v>
      </c>
      <c r="BF141" s="63" t="s">
        <v>201</v>
      </c>
    </row>
    <row r="142" spans="1:58">
      <c r="A142" s="46" t="s">
        <v>201</v>
      </c>
      <c r="B142" s="44" t="s">
        <v>201</v>
      </c>
      <c r="C142" s="44" t="s">
        <v>201</v>
      </c>
      <c r="D142" s="44" t="s">
        <v>201</v>
      </c>
      <c r="E142" s="44" t="s">
        <v>201</v>
      </c>
      <c r="F142" s="44" t="s">
        <v>201</v>
      </c>
      <c r="G142" s="44" t="s">
        <v>201</v>
      </c>
      <c r="H142" s="44" t="s">
        <v>201</v>
      </c>
      <c r="I142" s="44" t="s">
        <v>201</v>
      </c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  <c r="AE142" s="44"/>
      <c r="AF142" s="44"/>
      <c r="AG142" s="44"/>
      <c r="AH142" s="44"/>
      <c r="AI142" s="44"/>
      <c r="AJ142" s="44"/>
      <c r="AK142" s="44"/>
      <c r="AL142" s="44"/>
      <c r="AM142" s="44"/>
      <c r="AN142" s="44"/>
      <c r="AO142" s="44"/>
      <c r="AP142" s="44"/>
      <c r="AQ142" s="44"/>
      <c r="AR142" s="44"/>
      <c r="AS142" s="44"/>
      <c r="AT142" s="44"/>
      <c r="AU142" s="44"/>
      <c r="AV142" s="44"/>
      <c r="AW142" s="44"/>
      <c r="AX142" s="44"/>
      <c r="AY142" s="44"/>
      <c r="AZ142" s="54">
        <v>46343</v>
      </c>
      <c r="BA142" s="60" t="s">
        <v>201</v>
      </c>
      <c r="BB142" s="61" t="s">
        <v>201</v>
      </c>
      <c r="BC142" s="61" t="s">
        <v>201</v>
      </c>
      <c r="BD142" s="61" t="s">
        <v>201</v>
      </c>
      <c r="BE142" s="61" t="s">
        <v>201</v>
      </c>
      <c r="BF142" s="61" t="s">
        <v>201</v>
      </c>
    </row>
    <row r="143" spans="1:58">
      <c r="A143" s="46" t="s">
        <v>201</v>
      </c>
      <c r="B143" s="44" t="s">
        <v>201</v>
      </c>
      <c r="C143" s="44" t="s">
        <v>201</v>
      </c>
      <c r="D143" s="44" t="s">
        <v>201</v>
      </c>
      <c r="E143" s="44" t="s">
        <v>201</v>
      </c>
      <c r="F143" s="44" t="s">
        <v>201</v>
      </c>
      <c r="G143" s="44" t="s">
        <v>201</v>
      </c>
      <c r="H143" s="44" t="s">
        <v>201</v>
      </c>
      <c r="I143" s="44" t="s">
        <v>201</v>
      </c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  <c r="AE143" s="44"/>
      <c r="AF143" s="44"/>
      <c r="AG143" s="44"/>
      <c r="AH143" s="44"/>
      <c r="AI143" s="44"/>
      <c r="AJ143" s="44"/>
      <c r="AK143" s="44"/>
      <c r="AL143" s="44"/>
      <c r="AM143" s="44"/>
      <c r="AN143" s="44"/>
      <c r="AO143" s="44"/>
      <c r="AP143" s="44"/>
      <c r="AQ143" s="44"/>
      <c r="AR143" s="44"/>
      <c r="AS143" s="44"/>
      <c r="AT143" s="44"/>
      <c r="AU143" s="44"/>
      <c r="AV143" s="44"/>
      <c r="AW143" s="44"/>
      <c r="AX143" s="44"/>
      <c r="AY143" s="44"/>
      <c r="AZ143" s="53">
        <v>46344</v>
      </c>
      <c r="BA143" s="62" t="s">
        <v>201</v>
      </c>
      <c r="BB143" s="63" t="s">
        <v>201</v>
      </c>
      <c r="BC143" s="63" t="s">
        <v>201</v>
      </c>
      <c r="BD143" s="63" t="s">
        <v>201</v>
      </c>
      <c r="BE143" s="63" t="s">
        <v>201</v>
      </c>
      <c r="BF143" s="63" t="s">
        <v>201</v>
      </c>
    </row>
    <row r="144" spans="1:58">
      <c r="A144" s="46" t="s">
        <v>201</v>
      </c>
      <c r="B144" s="44" t="s">
        <v>201</v>
      </c>
      <c r="C144" s="44" t="s">
        <v>201</v>
      </c>
      <c r="D144" s="44" t="s">
        <v>201</v>
      </c>
      <c r="E144" s="44" t="s">
        <v>201</v>
      </c>
      <c r="F144" s="44" t="s">
        <v>201</v>
      </c>
      <c r="G144" s="44" t="s">
        <v>201</v>
      </c>
      <c r="H144" s="44" t="s">
        <v>201</v>
      </c>
      <c r="I144" s="44" t="s">
        <v>201</v>
      </c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  <c r="AE144" s="44"/>
      <c r="AF144" s="44"/>
      <c r="AG144" s="44"/>
      <c r="AH144" s="44"/>
      <c r="AI144" s="44"/>
      <c r="AJ144" s="44"/>
      <c r="AK144" s="44"/>
      <c r="AL144" s="44"/>
      <c r="AM144" s="44"/>
      <c r="AN144" s="44"/>
      <c r="AO144" s="44"/>
      <c r="AP144" s="44"/>
      <c r="AQ144" s="44"/>
      <c r="AR144" s="44"/>
      <c r="AS144" s="44"/>
      <c r="AT144" s="44"/>
      <c r="AU144" s="44"/>
      <c r="AV144" s="44"/>
      <c r="AW144" s="44"/>
      <c r="AX144" s="44"/>
      <c r="AY144" s="44"/>
      <c r="AZ144" s="54">
        <v>46345</v>
      </c>
      <c r="BA144" s="60" t="s">
        <v>201</v>
      </c>
      <c r="BB144" s="61" t="s">
        <v>201</v>
      </c>
      <c r="BC144" s="61" t="s">
        <v>201</v>
      </c>
      <c r="BD144" s="61" t="s">
        <v>201</v>
      </c>
      <c r="BE144" s="61" t="s">
        <v>201</v>
      </c>
      <c r="BF144" s="61" t="s">
        <v>201</v>
      </c>
    </row>
    <row r="145" spans="1:58">
      <c r="A145" s="46" t="s">
        <v>201</v>
      </c>
      <c r="B145" s="44" t="s">
        <v>201</v>
      </c>
      <c r="C145" s="44" t="s">
        <v>201</v>
      </c>
      <c r="D145" s="44" t="s">
        <v>201</v>
      </c>
      <c r="E145" s="44" t="s">
        <v>201</v>
      </c>
      <c r="F145" s="44" t="s">
        <v>201</v>
      </c>
      <c r="G145" s="44" t="s">
        <v>201</v>
      </c>
      <c r="H145" s="44" t="s">
        <v>201</v>
      </c>
      <c r="I145" s="44" t="s">
        <v>201</v>
      </c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  <c r="AE145" s="44"/>
      <c r="AF145" s="44"/>
      <c r="AG145" s="44"/>
      <c r="AH145" s="44"/>
      <c r="AI145" s="44"/>
      <c r="AJ145" s="44"/>
      <c r="AK145" s="44"/>
      <c r="AL145" s="44"/>
      <c r="AM145" s="44"/>
      <c r="AN145" s="44"/>
      <c r="AO145" s="44"/>
      <c r="AP145" s="44"/>
      <c r="AQ145" s="44"/>
      <c r="AR145" s="44"/>
      <c r="AS145" s="44"/>
      <c r="AT145" s="44"/>
      <c r="AU145" s="44"/>
      <c r="AV145" s="44"/>
      <c r="AW145" s="44"/>
      <c r="AX145" s="44"/>
      <c r="AY145" s="44"/>
      <c r="AZ145" s="53">
        <v>46346</v>
      </c>
      <c r="BA145" s="62" t="s">
        <v>201</v>
      </c>
      <c r="BB145" s="63" t="s">
        <v>201</v>
      </c>
      <c r="BC145" s="63" t="s">
        <v>201</v>
      </c>
      <c r="BD145" s="63" t="s">
        <v>201</v>
      </c>
      <c r="BE145" s="63" t="s">
        <v>201</v>
      </c>
      <c r="BF145" s="63" t="s">
        <v>201</v>
      </c>
    </row>
    <row r="146" spans="1:58">
      <c r="A146" s="46" t="s">
        <v>201</v>
      </c>
      <c r="B146" s="44" t="s">
        <v>201</v>
      </c>
      <c r="C146" s="44" t="s">
        <v>201</v>
      </c>
      <c r="D146" s="44" t="s">
        <v>201</v>
      </c>
      <c r="E146" s="44" t="s">
        <v>201</v>
      </c>
      <c r="F146" s="44" t="s">
        <v>201</v>
      </c>
      <c r="G146" s="44" t="s">
        <v>201</v>
      </c>
      <c r="H146" s="44" t="s">
        <v>201</v>
      </c>
      <c r="I146" s="44" t="s">
        <v>201</v>
      </c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  <c r="AD146" s="44"/>
      <c r="AE146" s="44"/>
      <c r="AF146" s="44"/>
      <c r="AG146" s="44"/>
      <c r="AH146" s="44"/>
      <c r="AI146" s="44"/>
      <c r="AJ146" s="44"/>
      <c r="AK146" s="44"/>
      <c r="AL146" s="44"/>
      <c r="AM146" s="44"/>
      <c r="AN146" s="44"/>
      <c r="AO146" s="44"/>
      <c r="AP146" s="44"/>
      <c r="AQ146" s="44"/>
      <c r="AR146" s="44"/>
      <c r="AS146" s="44"/>
      <c r="AT146" s="44"/>
      <c r="AU146" s="44"/>
      <c r="AV146" s="44"/>
      <c r="AW146" s="44"/>
      <c r="AX146" s="44"/>
      <c r="AY146" s="44"/>
      <c r="AZ146" s="54">
        <v>46347</v>
      </c>
      <c r="BA146" s="60" t="s">
        <v>201</v>
      </c>
      <c r="BB146" s="61" t="s">
        <v>201</v>
      </c>
      <c r="BC146" s="61" t="s">
        <v>201</v>
      </c>
      <c r="BD146" s="61" t="s">
        <v>201</v>
      </c>
      <c r="BE146" s="61" t="s">
        <v>201</v>
      </c>
      <c r="BF146" s="61" t="s">
        <v>201</v>
      </c>
    </row>
    <row r="147" spans="1:58">
      <c r="A147" s="46" t="s">
        <v>201</v>
      </c>
      <c r="B147" s="44" t="s">
        <v>201</v>
      </c>
      <c r="C147" s="44" t="s">
        <v>201</v>
      </c>
      <c r="D147" s="44" t="s">
        <v>201</v>
      </c>
      <c r="E147" s="44" t="s">
        <v>201</v>
      </c>
      <c r="F147" s="44" t="s">
        <v>201</v>
      </c>
      <c r="G147" s="44" t="s">
        <v>201</v>
      </c>
      <c r="H147" s="44" t="s">
        <v>201</v>
      </c>
      <c r="I147" s="44" t="s">
        <v>201</v>
      </c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44"/>
      <c r="AH147" s="44"/>
      <c r="AI147" s="44"/>
      <c r="AJ147" s="44"/>
      <c r="AK147" s="44"/>
      <c r="AL147" s="44"/>
      <c r="AM147" s="44"/>
      <c r="AN147" s="44"/>
      <c r="AO147" s="44"/>
      <c r="AP147" s="44"/>
      <c r="AQ147" s="44"/>
      <c r="AR147" s="44"/>
      <c r="AS147" s="44"/>
      <c r="AT147" s="44"/>
      <c r="AU147" s="44"/>
      <c r="AV147" s="44"/>
      <c r="AW147" s="44"/>
      <c r="AX147" s="44"/>
      <c r="AY147" s="44"/>
      <c r="AZ147" s="53">
        <v>46348</v>
      </c>
      <c r="BA147" s="62" t="s">
        <v>201</v>
      </c>
      <c r="BB147" s="63" t="s">
        <v>201</v>
      </c>
      <c r="BC147" s="63" t="s">
        <v>201</v>
      </c>
      <c r="BD147" s="63" t="s">
        <v>201</v>
      </c>
      <c r="BE147" s="63" t="s">
        <v>201</v>
      </c>
      <c r="BF147" s="63" t="s">
        <v>201</v>
      </c>
    </row>
    <row r="148" spans="1:58">
      <c r="A148" s="46" t="s">
        <v>201</v>
      </c>
      <c r="B148" s="44" t="s">
        <v>201</v>
      </c>
      <c r="C148" s="44" t="s">
        <v>201</v>
      </c>
      <c r="D148" s="44" t="s">
        <v>201</v>
      </c>
      <c r="E148" s="44" t="s">
        <v>201</v>
      </c>
      <c r="F148" s="44" t="s">
        <v>201</v>
      </c>
      <c r="G148" s="44" t="s">
        <v>201</v>
      </c>
      <c r="H148" s="44" t="s">
        <v>201</v>
      </c>
      <c r="I148" s="44" t="s">
        <v>201</v>
      </c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  <c r="AD148" s="44"/>
      <c r="AE148" s="44"/>
      <c r="AF148" s="44"/>
      <c r="AG148" s="44"/>
      <c r="AH148" s="44"/>
      <c r="AI148" s="44"/>
      <c r="AJ148" s="44"/>
      <c r="AK148" s="44"/>
      <c r="AL148" s="44"/>
      <c r="AM148" s="44"/>
      <c r="AN148" s="44"/>
      <c r="AO148" s="44"/>
      <c r="AP148" s="44"/>
      <c r="AQ148" s="44"/>
      <c r="AR148" s="44"/>
      <c r="AS148" s="44"/>
      <c r="AT148" s="44"/>
      <c r="AU148" s="44"/>
      <c r="AV148" s="44"/>
      <c r="AW148" s="44"/>
      <c r="AX148" s="44"/>
      <c r="AY148" s="44"/>
      <c r="AZ148" s="54">
        <v>46349</v>
      </c>
      <c r="BA148" s="60" t="s">
        <v>201</v>
      </c>
      <c r="BB148" s="61" t="s">
        <v>201</v>
      </c>
      <c r="BC148" s="61" t="s">
        <v>201</v>
      </c>
      <c r="BD148" s="61" t="s">
        <v>201</v>
      </c>
      <c r="BE148" s="61" t="s">
        <v>201</v>
      </c>
      <c r="BF148" s="61" t="s">
        <v>201</v>
      </c>
    </row>
    <row r="149" spans="1:58">
      <c r="A149" s="46" t="s">
        <v>201</v>
      </c>
      <c r="B149" s="44" t="s">
        <v>201</v>
      </c>
      <c r="C149" s="44" t="s">
        <v>201</v>
      </c>
      <c r="D149" s="44" t="s">
        <v>201</v>
      </c>
      <c r="E149" s="44" t="s">
        <v>201</v>
      </c>
      <c r="F149" s="44" t="s">
        <v>201</v>
      </c>
      <c r="G149" s="44" t="s">
        <v>201</v>
      </c>
      <c r="H149" s="44" t="s">
        <v>201</v>
      </c>
      <c r="I149" s="44" t="s">
        <v>201</v>
      </c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  <c r="AE149" s="44"/>
      <c r="AF149" s="44"/>
      <c r="AG149" s="44"/>
      <c r="AH149" s="44"/>
      <c r="AI149" s="44"/>
      <c r="AJ149" s="44"/>
      <c r="AK149" s="44"/>
      <c r="AL149" s="44"/>
      <c r="AM149" s="44"/>
      <c r="AN149" s="44"/>
      <c r="AO149" s="44"/>
      <c r="AP149" s="44"/>
      <c r="AQ149" s="44"/>
      <c r="AR149" s="44"/>
      <c r="AS149" s="44"/>
      <c r="AT149" s="44"/>
      <c r="AU149" s="44"/>
      <c r="AV149" s="44"/>
      <c r="AW149" s="44"/>
      <c r="AX149" s="44"/>
      <c r="AY149" s="44"/>
      <c r="AZ149" s="53">
        <v>46350</v>
      </c>
      <c r="BA149" s="62" t="s">
        <v>201</v>
      </c>
      <c r="BB149" s="63" t="s">
        <v>201</v>
      </c>
      <c r="BC149" s="63" t="s">
        <v>201</v>
      </c>
      <c r="BD149" s="63" t="s">
        <v>201</v>
      </c>
      <c r="BE149" s="63" t="s">
        <v>201</v>
      </c>
      <c r="BF149" s="63" t="s">
        <v>201</v>
      </c>
    </row>
    <row r="150" spans="1:58">
      <c r="A150" s="46" t="s">
        <v>201</v>
      </c>
      <c r="B150" s="44" t="s">
        <v>201</v>
      </c>
      <c r="C150" s="44" t="s">
        <v>201</v>
      </c>
      <c r="D150" s="44" t="s">
        <v>201</v>
      </c>
      <c r="E150" s="44" t="s">
        <v>201</v>
      </c>
      <c r="F150" s="44" t="s">
        <v>201</v>
      </c>
      <c r="G150" s="44" t="s">
        <v>201</v>
      </c>
      <c r="H150" s="44" t="s">
        <v>201</v>
      </c>
      <c r="I150" s="44" t="s">
        <v>201</v>
      </c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44"/>
      <c r="AH150" s="44"/>
      <c r="AI150" s="44"/>
      <c r="AJ150" s="44"/>
      <c r="AK150" s="44"/>
      <c r="AL150" s="44"/>
      <c r="AM150" s="44"/>
      <c r="AN150" s="44"/>
      <c r="AO150" s="44"/>
      <c r="AP150" s="44"/>
      <c r="AQ150" s="44"/>
      <c r="AR150" s="44"/>
      <c r="AS150" s="44"/>
      <c r="AT150" s="44"/>
      <c r="AU150" s="44"/>
      <c r="AV150" s="44"/>
      <c r="AW150" s="44"/>
      <c r="AX150" s="44"/>
      <c r="AY150" s="44"/>
      <c r="AZ150" s="54">
        <v>46351</v>
      </c>
      <c r="BA150" s="60" t="s">
        <v>201</v>
      </c>
      <c r="BB150" s="61" t="s">
        <v>201</v>
      </c>
      <c r="BC150" s="61" t="s">
        <v>201</v>
      </c>
      <c r="BD150" s="61" t="s">
        <v>201</v>
      </c>
      <c r="BE150" s="61" t="s">
        <v>201</v>
      </c>
      <c r="BF150" s="61" t="s">
        <v>201</v>
      </c>
    </row>
    <row r="151" spans="1:58">
      <c r="A151" s="46" t="s">
        <v>201</v>
      </c>
      <c r="B151" s="44" t="s">
        <v>201</v>
      </c>
      <c r="C151" s="44" t="s">
        <v>201</v>
      </c>
      <c r="D151" s="44" t="s">
        <v>201</v>
      </c>
      <c r="E151" s="44" t="s">
        <v>201</v>
      </c>
      <c r="F151" s="44" t="s">
        <v>201</v>
      </c>
      <c r="G151" s="44" t="s">
        <v>201</v>
      </c>
      <c r="H151" s="44" t="s">
        <v>201</v>
      </c>
      <c r="I151" s="44" t="s">
        <v>201</v>
      </c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  <c r="AD151" s="44"/>
      <c r="AE151" s="44"/>
      <c r="AF151" s="44"/>
      <c r="AG151" s="44"/>
      <c r="AH151" s="44"/>
      <c r="AI151" s="44"/>
      <c r="AJ151" s="44"/>
      <c r="AK151" s="44"/>
      <c r="AL151" s="44"/>
      <c r="AM151" s="44"/>
      <c r="AN151" s="44"/>
      <c r="AO151" s="44"/>
      <c r="AP151" s="44"/>
      <c r="AQ151" s="44"/>
      <c r="AR151" s="44"/>
      <c r="AS151" s="44"/>
      <c r="AT151" s="44"/>
      <c r="AU151" s="44"/>
      <c r="AV151" s="44"/>
      <c r="AW151" s="44"/>
      <c r="AX151" s="44"/>
      <c r="AY151" s="44"/>
      <c r="AZ151" s="53">
        <v>46352</v>
      </c>
      <c r="BA151" s="62" t="s">
        <v>201</v>
      </c>
      <c r="BB151" s="63" t="s">
        <v>201</v>
      </c>
      <c r="BC151" s="63" t="s">
        <v>201</v>
      </c>
      <c r="BD151" s="63" t="s">
        <v>201</v>
      </c>
      <c r="BE151" s="63" t="s">
        <v>201</v>
      </c>
      <c r="BF151" s="63" t="s">
        <v>201</v>
      </c>
    </row>
    <row r="152" spans="1:58">
      <c r="A152" s="46" t="s">
        <v>201</v>
      </c>
      <c r="B152" s="44" t="s">
        <v>201</v>
      </c>
      <c r="C152" s="44" t="s">
        <v>201</v>
      </c>
      <c r="D152" s="44" t="s">
        <v>201</v>
      </c>
      <c r="E152" s="44" t="s">
        <v>201</v>
      </c>
      <c r="F152" s="44" t="s">
        <v>201</v>
      </c>
      <c r="G152" s="44" t="s">
        <v>201</v>
      </c>
      <c r="H152" s="44" t="s">
        <v>201</v>
      </c>
      <c r="I152" s="44" t="s">
        <v>201</v>
      </c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  <c r="AD152" s="44"/>
      <c r="AE152" s="44"/>
      <c r="AF152" s="44"/>
      <c r="AG152" s="44"/>
      <c r="AH152" s="44"/>
      <c r="AI152" s="44"/>
      <c r="AJ152" s="44"/>
      <c r="AK152" s="44"/>
      <c r="AL152" s="44"/>
      <c r="AM152" s="44"/>
      <c r="AN152" s="44"/>
      <c r="AO152" s="44"/>
      <c r="AP152" s="44"/>
      <c r="AQ152" s="44"/>
      <c r="AR152" s="44"/>
      <c r="AS152" s="44"/>
      <c r="AT152" s="44"/>
      <c r="AU152" s="44"/>
      <c r="AV152" s="44"/>
      <c r="AW152" s="44"/>
      <c r="AX152" s="44"/>
      <c r="AY152" s="44"/>
      <c r="AZ152" s="54">
        <v>46353</v>
      </c>
      <c r="BA152" s="60" t="s">
        <v>201</v>
      </c>
      <c r="BB152" s="61" t="s">
        <v>201</v>
      </c>
      <c r="BC152" s="61" t="s">
        <v>201</v>
      </c>
      <c r="BD152" s="61" t="s">
        <v>201</v>
      </c>
      <c r="BE152" s="61" t="s">
        <v>201</v>
      </c>
      <c r="BF152" s="61" t="s">
        <v>201</v>
      </c>
    </row>
    <row r="153" spans="1:58">
      <c r="A153" s="46" t="s">
        <v>201</v>
      </c>
      <c r="B153" s="44" t="s">
        <v>201</v>
      </c>
      <c r="C153" s="44" t="s">
        <v>201</v>
      </c>
      <c r="D153" s="44" t="s">
        <v>201</v>
      </c>
      <c r="E153" s="44" t="s">
        <v>201</v>
      </c>
      <c r="F153" s="44" t="s">
        <v>201</v>
      </c>
      <c r="G153" s="44" t="s">
        <v>201</v>
      </c>
      <c r="H153" s="44" t="s">
        <v>201</v>
      </c>
      <c r="I153" s="44" t="s">
        <v>201</v>
      </c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  <c r="AE153" s="44"/>
      <c r="AF153" s="44"/>
      <c r="AG153" s="44"/>
      <c r="AH153" s="44"/>
      <c r="AI153" s="44"/>
      <c r="AJ153" s="44"/>
      <c r="AK153" s="44"/>
      <c r="AL153" s="44"/>
      <c r="AM153" s="44"/>
      <c r="AN153" s="44"/>
      <c r="AO153" s="44"/>
      <c r="AP153" s="44"/>
      <c r="AQ153" s="44"/>
      <c r="AR153" s="44"/>
      <c r="AS153" s="44"/>
      <c r="AT153" s="44"/>
      <c r="AU153" s="44"/>
      <c r="AV153" s="44"/>
      <c r="AW153" s="44"/>
      <c r="AX153" s="44"/>
      <c r="AY153" s="44"/>
      <c r="AZ153" s="53">
        <v>46354</v>
      </c>
      <c r="BA153" s="62" t="s">
        <v>201</v>
      </c>
      <c r="BB153" s="63" t="s">
        <v>201</v>
      </c>
      <c r="BC153" s="63" t="s">
        <v>201</v>
      </c>
      <c r="BD153" s="63" t="s">
        <v>201</v>
      </c>
      <c r="BE153" s="63" t="s">
        <v>201</v>
      </c>
      <c r="BF153" s="63" t="s">
        <v>201</v>
      </c>
    </row>
    <row r="154" spans="1:58">
      <c r="A154" s="46" t="s">
        <v>201</v>
      </c>
      <c r="B154" s="44" t="s">
        <v>201</v>
      </c>
      <c r="C154" s="44" t="s">
        <v>201</v>
      </c>
      <c r="D154" s="44" t="s">
        <v>201</v>
      </c>
      <c r="E154" s="44" t="s">
        <v>201</v>
      </c>
      <c r="F154" s="44" t="s">
        <v>201</v>
      </c>
      <c r="G154" s="44" t="s">
        <v>201</v>
      </c>
      <c r="H154" s="44" t="s">
        <v>201</v>
      </c>
      <c r="I154" s="44" t="s">
        <v>201</v>
      </c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  <c r="AE154" s="44"/>
      <c r="AF154" s="44"/>
      <c r="AG154" s="44"/>
      <c r="AH154" s="44"/>
      <c r="AI154" s="44"/>
      <c r="AJ154" s="44"/>
      <c r="AK154" s="44"/>
      <c r="AL154" s="44"/>
      <c r="AM154" s="44"/>
      <c r="AN154" s="44"/>
      <c r="AO154" s="44"/>
      <c r="AP154" s="44"/>
      <c r="AQ154" s="44"/>
      <c r="AR154" s="44"/>
      <c r="AS154" s="44"/>
      <c r="AT154" s="44"/>
      <c r="AU154" s="44"/>
      <c r="AV154" s="44"/>
      <c r="AW154" s="44"/>
      <c r="AX154" s="44"/>
      <c r="AY154" s="44"/>
      <c r="AZ154" s="54">
        <v>46355</v>
      </c>
      <c r="BA154" s="60" t="s">
        <v>201</v>
      </c>
      <c r="BB154" s="61" t="s">
        <v>201</v>
      </c>
      <c r="BC154" s="61" t="s">
        <v>201</v>
      </c>
      <c r="BD154" s="61" t="s">
        <v>201</v>
      </c>
      <c r="BE154" s="61" t="s">
        <v>201</v>
      </c>
      <c r="BF154" s="61" t="s">
        <v>201</v>
      </c>
    </row>
    <row r="155" spans="1:58">
      <c r="A155" s="46" t="s">
        <v>201</v>
      </c>
      <c r="B155" s="44" t="s">
        <v>201</v>
      </c>
      <c r="C155" s="44" t="s">
        <v>201</v>
      </c>
      <c r="D155" s="44" t="s">
        <v>201</v>
      </c>
      <c r="E155" s="44" t="s">
        <v>201</v>
      </c>
      <c r="F155" s="44" t="s">
        <v>201</v>
      </c>
      <c r="G155" s="44" t="s">
        <v>201</v>
      </c>
      <c r="H155" s="44" t="s">
        <v>201</v>
      </c>
      <c r="I155" s="44" t="s">
        <v>201</v>
      </c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44"/>
      <c r="AH155" s="44"/>
      <c r="AI155" s="44"/>
      <c r="AJ155" s="44"/>
      <c r="AK155" s="44"/>
      <c r="AL155" s="44"/>
      <c r="AM155" s="44"/>
      <c r="AN155" s="44"/>
      <c r="AO155" s="44"/>
      <c r="AP155" s="44"/>
      <c r="AQ155" s="44"/>
      <c r="AR155" s="44"/>
      <c r="AS155" s="44"/>
      <c r="AT155" s="44"/>
      <c r="AU155" s="44"/>
      <c r="AV155" s="44"/>
      <c r="AW155" s="44"/>
      <c r="AX155" s="44"/>
      <c r="AY155" s="44"/>
      <c r="AZ155" s="53">
        <v>46356</v>
      </c>
      <c r="BA155" s="62" t="s">
        <v>201</v>
      </c>
      <c r="BB155" s="63" t="s">
        <v>201</v>
      </c>
      <c r="BC155" s="63" t="s">
        <v>201</v>
      </c>
      <c r="BD155" s="63" t="s">
        <v>201</v>
      </c>
      <c r="BE155" s="63" t="s">
        <v>201</v>
      </c>
      <c r="BF155" s="63" t="s">
        <v>201</v>
      </c>
    </row>
    <row r="156" spans="1:58">
      <c r="A156" s="46" t="s">
        <v>201</v>
      </c>
      <c r="B156" s="44" t="s">
        <v>201</v>
      </c>
      <c r="C156" s="44" t="s">
        <v>201</v>
      </c>
      <c r="D156" s="44" t="s">
        <v>201</v>
      </c>
      <c r="E156" s="44" t="s">
        <v>201</v>
      </c>
      <c r="F156" s="44" t="s">
        <v>201</v>
      </c>
      <c r="G156" s="44" t="s">
        <v>201</v>
      </c>
      <c r="H156" s="44" t="s">
        <v>201</v>
      </c>
      <c r="I156" s="44" t="s">
        <v>201</v>
      </c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44"/>
      <c r="AE156" s="44"/>
      <c r="AF156" s="44"/>
      <c r="AG156" s="44"/>
      <c r="AH156" s="44"/>
      <c r="AI156" s="44"/>
      <c r="AJ156" s="44"/>
      <c r="AK156" s="44"/>
      <c r="AL156" s="44"/>
      <c r="AM156" s="44"/>
      <c r="AN156" s="44"/>
      <c r="AO156" s="44"/>
      <c r="AP156" s="44"/>
      <c r="AQ156" s="44"/>
      <c r="AR156" s="44"/>
      <c r="AS156" s="44"/>
      <c r="AT156" s="44"/>
      <c r="AU156" s="44"/>
      <c r="AV156" s="44"/>
      <c r="AW156" s="44"/>
      <c r="AX156" s="44"/>
      <c r="AY156" s="44"/>
      <c r="AZ156" s="54">
        <v>46357</v>
      </c>
      <c r="BA156" s="60" t="s">
        <v>201</v>
      </c>
      <c r="BB156" s="61" t="s">
        <v>201</v>
      </c>
      <c r="BC156" s="61" t="s">
        <v>201</v>
      </c>
      <c r="BD156" s="61" t="s">
        <v>201</v>
      </c>
      <c r="BE156" s="61" t="s">
        <v>201</v>
      </c>
      <c r="BF156" s="61" t="s">
        <v>201</v>
      </c>
    </row>
    <row r="157" spans="1:58">
      <c r="A157" s="46" t="s">
        <v>201</v>
      </c>
      <c r="B157" s="44" t="s">
        <v>201</v>
      </c>
      <c r="C157" s="44" t="s">
        <v>201</v>
      </c>
      <c r="D157" s="44" t="s">
        <v>201</v>
      </c>
      <c r="E157" s="44" t="s">
        <v>201</v>
      </c>
      <c r="F157" s="44" t="s">
        <v>201</v>
      </c>
      <c r="G157" s="44" t="s">
        <v>201</v>
      </c>
      <c r="H157" s="44" t="s">
        <v>201</v>
      </c>
      <c r="I157" s="44" t="s">
        <v>201</v>
      </c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  <c r="AD157" s="44"/>
      <c r="AE157" s="44"/>
      <c r="AF157" s="44"/>
      <c r="AG157" s="44"/>
      <c r="AH157" s="44"/>
      <c r="AI157" s="44"/>
      <c r="AJ157" s="44"/>
      <c r="AK157" s="44"/>
      <c r="AL157" s="44"/>
      <c r="AM157" s="44"/>
      <c r="AN157" s="44"/>
      <c r="AO157" s="44"/>
      <c r="AP157" s="44"/>
      <c r="AQ157" s="44"/>
      <c r="AR157" s="44"/>
      <c r="AS157" s="44"/>
      <c r="AT157" s="44"/>
      <c r="AU157" s="44"/>
      <c r="AV157" s="44"/>
      <c r="AW157" s="44"/>
      <c r="AX157" s="44"/>
      <c r="AY157" s="44"/>
      <c r="AZ157" s="53">
        <v>46358</v>
      </c>
      <c r="BA157" s="62" t="s">
        <v>201</v>
      </c>
      <c r="BB157" s="63" t="s">
        <v>201</v>
      </c>
      <c r="BC157" s="63" t="s">
        <v>201</v>
      </c>
      <c r="BD157" s="63" t="s">
        <v>201</v>
      </c>
      <c r="BE157" s="63" t="s">
        <v>201</v>
      </c>
      <c r="BF157" s="63" t="s">
        <v>201</v>
      </c>
    </row>
    <row r="158" spans="1:58">
      <c r="A158" s="46" t="s">
        <v>201</v>
      </c>
      <c r="B158" s="44" t="s">
        <v>201</v>
      </c>
      <c r="C158" s="44" t="s">
        <v>201</v>
      </c>
      <c r="D158" s="44" t="s">
        <v>201</v>
      </c>
      <c r="E158" s="44" t="s">
        <v>201</v>
      </c>
      <c r="F158" s="44" t="s">
        <v>201</v>
      </c>
      <c r="G158" s="44" t="s">
        <v>201</v>
      </c>
      <c r="H158" s="44" t="s">
        <v>201</v>
      </c>
      <c r="I158" s="44" t="s">
        <v>201</v>
      </c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44"/>
      <c r="AH158" s="44"/>
      <c r="AI158" s="44"/>
      <c r="AJ158" s="44"/>
      <c r="AK158" s="44"/>
      <c r="AL158" s="44"/>
      <c r="AM158" s="44"/>
      <c r="AN158" s="44"/>
      <c r="AO158" s="44"/>
      <c r="AP158" s="44"/>
      <c r="AQ158" s="44"/>
      <c r="AR158" s="44"/>
      <c r="AS158" s="44"/>
      <c r="AT158" s="44"/>
      <c r="AU158" s="44"/>
      <c r="AV158" s="44"/>
      <c r="AW158" s="44"/>
      <c r="AX158" s="44"/>
      <c r="AY158" s="44"/>
      <c r="AZ158" s="54">
        <v>46359</v>
      </c>
      <c r="BA158" s="60" t="s">
        <v>201</v>
      </c>
      <c r="BB158" s="61" t="s">
        <v>201</v>
      </c>
      <c r="BC158" s="61" t="s">
        <v>201</v>
      </c>
      <c r="BD158" s="61" t="s">
        <v>201</v>
      </c>
      <c r="BE158" s="61" t="s">
        <v>201</v>
      </c>
      <c r="BF158" s="61" t="s">
        <v>201</v>
      </c>
    </row>
    <row r="159" spans="1:58">
      <c r="A159" s="46" t="s">
        <v>201</v>
      </c>
      <c r="B159" s="44" t="s">
        <v>201</v>
      </c>
      <c r="C159" s="44" t="s">
        <v>201</v>
      </c>
      <c r="D159" s="44" t="s">
        <v>201</v>
      </c>
      <c r="E159" s="44" t="s">
        <v>201</v>
      </c>
      <c r="F159" s="44" t="s">
        <v>201</v>
      </c>
      <c r="G159" s="44" t="s">
        <v>201</v>
      </c>
      <c r="H159" s="44" t="s">
        <v>201</v>
      </c>
      <c r="I159" s="44" t="s">
        <v>201</v>
      </c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  <c r="AH159" s="44"/>
      <c r="AI159" s="44"/>
      <c r="AJ159" s="44"/>
      <c r="AK159" s="44"/>
      <c r="AL159" s="44"/>
      <c r="AM159" s="44"/>
      <c r="AN159" s="44"/>
      <c r="AO159" s="44"/>
      <c r="AP159" s="44"/>
      <c r="AQ159" s="44"/>
      <c r="AR159" s="44"/>
      <c r="AS159" s="44"/>
      <c r="AT159" s="44"/>
      <c r="AU159" s="44"/>
      <c r="AV159" s="44"/>
      <c r="AW159" s="44"/>
      <c r="AX159" s="44"/>
      <c r="AY159" s="44"/>
      <c r="AZ159" s="53">
        <v>46360</v>
      </c>
      <c r="BA159" s="62" t="s">
        <v>201</v>
      </c>
      <c r="BB159" s="63" t="s">
        <v>201</v>
      </c>
      <c r="BC159" s="63" t="s">
        <v>201</v>
      </c>
      <c r="BD159" s="63" t="s">
        <v>201</v>
      </c>
      <c r="BE159" s="63" t="s">
        <v>201</v>
      </c>
      <c r="BF159" s="63" t="s">
        <v>201</v>
      </c>
    </row>
    <row r="160" spans="1:58">
      <c r="A160" s="46" t="s">
        <v>201</v>
      </c>
      <c r="B160" s="44" t="s">
        <v>201</v>
      </c>
      <c r="C160" s="44" t="s">
        <v>201</v>
      </c>
      <c r="D160" s="44" t="s">
        <v>201</v>
      </c>
      <c r="E160" s="44" t="s">
        <v>201</v>
      </c>
      <c r="F160" s="44" t="s">
        <v>201</v>
      </c>
      <c r="G160" s="44" t="s">
        <v>201</v>
      </c>
      <c r="H160" s="44" t="s">
        <v>201</v>
      </c>
      <c r="I160" s="44" t="s">
        <v>201</v>
      </c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  <c r="AD160" s="44"/>
      <c r="AE160" s="44"/>
      <c r="AF160" s="44"/>
      <c r="AG160" s="44"/>
      <c r="AH160" s="44"/>
      <c r="AI160" s="44"/>
      <c r="AJ160" s="44"/>
      <c r="AK160" s="44"/>
      <c r="AL160" s="44"/>
      <c r="AM160" s="44"/>
      <c r="AN160" s="44"/>
      <c r="AO160" s="44"/>
      <c r="AP160" s="44"/>
      <c r="AQ160" s="44"/>
      <c r="AR160" s="44"/>
      <c r="AS160" s="44"/>
      <c r="AT160" s="44"/>
      <c r="AU160" s="44"/>
      <c r="AV160" s="44"/>
      <c r="AW160" s="44"/>
      <c r="AX160" s="44"/>
      <c r="AY160" s="44"/>
      <c r="AZ160" s="54">
        <v>46361</v>
      </c>
      <c r="BA160" s="60" t="s">
        <v>201</v>
      </c>
      <c r="BB160" s="61" t="s">
        <v>201</v>
      </c>
      <c r="BC160" s="61" t="s">
        <v>201</v>
      </c>
      <c r="BD160" s="61" t="s">
        <v>201</v>
      </c>
      <c r="BE160" s="61" t="s">
        <v>201</v>
      </c>
      <c r="BF160" s="61" t="s">
        <v>201</v>
      </c>
    </row>
    <row r="161" spans="1:58">
      <c r="A161" s="46" t="s">
        <v>201</v>
      </c>
      <c r="B161" s="44" t="s">
        <v>201</v>
      </c>
      <c r="C161" s="44" t="s">
        <v>201</v>
      </c>
      <c r="D161" s="44" t="s">
        <v>201</v>
      </c>
      <c r="E161" s="44" t="s">
        <v>201</v>
      </c>
      <c r="F161" s="44" t="s">
        <v>201</v>
      </c>
      <c r="G161" s="44" t="s">
        <v>201</v>
      </c>
      <c r="H161" s="44" t="s">
        <v>201</v>
      </c>
      <c r="I161" s="44" t="s">
        <v>201</v>
      </c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44"/>
      <c r="AH161" s="44"/>
      <c r="AI161" s="44"/>
      <c r="AJ161" s="44"/>
      <c r="AK161" s="44"/>
      <c r="AL161" s="44"/>
      <c r="AM161" s="44"/>
      <c r="AN161" s="44"/>
      <c r="AO161" s="44"/>
      <c r="AP161" s="44"/>
      <c r="AQ161" s="44"/>
      <c r="AR161" s="44"/>
      <c r="AS161" s="44"/>
      <c r="AT161" s="44"/>
      <c r="AU161" s="44"/>
      <c r="AV161" s="44"/>
      <c r="AW161" s="44"/>
      <c r="AX161" s="44"/>
      <c r="AY161" s="44"/>
      <c r="AZ161" s="53">
        <v>46362</v>
      </c>
      <c r="BA161" s="62" t="s">
        <v>201</v>
      </c>
      <c r="BB161" s="63" t="s">
        <v>201</v>
      </c>
      <c r="BC161" s="63" t="s">
        <v>201</v>
      </c>
      <c r="BD161" s="63" t="s">
        <v>201</v>
      </c>
      <c r="BE161" s="63" t="s">
        <v>201</v>
      </c>
      <c r="BF161" s="63" t="s">
        <v>201</v>
      </c>
    </row>
    <row r="162" spans="1:58">
      <c r="A162" s="46" t="s">
        <v>201</v>
      </c>
      <c r="B162" s="44" t="s">
        <v>201</v>
      </c>
      <c r="C162" s="44" t="s">
        <v>201</v>
      </c>
      <c r="D162" s="44" t="s">
        <v>201</v>
      </c>
      <c r="E162" s="44" t="s">
        <v>201</v>
      </c>
      <c r="F162" s="44" t="s">
        <v>201</v>
      </c>
      <c r="G162" s="44" t="s">
        <v>201</v>
      </c>
      <c r="H162" s="44" t="s">
        <v>201</v>
      </c>
      <c r="I162" s="44" t="s">
        <v>201</v>
      </c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  <c r="AH162" s="44"/>
      <c r="AI162" s="44"/>
      <c r="AJ162" s="44"/>
      <c r="AK162" s="44"/>
      <c r="AL162" s="44"/>
      <c r="AM162" s="44"/>
      <c r="AN162" s="44"/>
      <c r="AO162" s="44"/>
      <c r="AP162" s="44"/>
      <c r="AQ162" s="44"/>
      <c r="AR162" s="44"/>
      <c r="AS162" s="44"/>
      <c r="AT162" s="44"/>
      <c r="AU162" s="44"/>
      <c r="AV162" s="44"/>
      <c r="AW162" s="44"/>
      <c r="AX162" s="44"/>
      <c r="AY162" s="44"/>
      <c r="AZ162" s="54">
        <v>46363</v>
      </c>
      <c r="BA162" s="60" t="s">
        <v>201</v>
      </c>
      <c r="BB162" s="61" t="s">
        <v>201</v>
      </c>
      <c r="BC162" s="61" t="s">
        <v>201</v>
      </c>
      <c r="BD162" s="61" t="s">
        <v>201</v>
      </c>
      <c r="BE162" s="61" t="s">
        <v>201</v>
      </c>
      <c r="BF162" s="61" t="s">
        <v>201</v>
      </c>
    </row>
    <row r="163" spans="1:58">
      <c r="A163" s="46" t="s">
        <v>201</v>
      </c>
      <c r="B163" s="44" t="s">
        <v>201</v>
      </c>
      <c r="C163" s="44" t="s">
        <v>201</v>
      </c>
      <c r="D163" s="44" t="s">
        <v>201</v>
      </c>
      <c r="E163" s="44" t="s">
        <v>201</v>
      </c>
      <c r="F163" s="44" t="s">
        <v>201</v>
      </c>
      <c r="G163" s="44" t="s">
        <v>201</v>
      </c>
      <c r="H163" s="44" t="s">
        <v>201</v>
      </c>
      <c r="I163" s="44" t="s">
        <v>201</v>
      </c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44"/>
      <c r="AH163" s="44"/>
      <c r="AI163" s="44"/>
      <c r="AJ163" s="44"/>
      <c r="AK163" s="44"/>
      <c r="AL163" s="44"/>
      <c r="AM163" s="44"/>
      <c r="AN163" s="44"/>
      <c r="AO163" s="44"/>
      <c r="AP163" s="44"/>
      <c r="AQ163" s="44"/>
      <c r="AR163" s="44"/>
      <c r="AS163" s="44"/>
      <c r="AT163" s="44"/>
      <c r="AU163" s="44"/>
      <c r="AV163" s="44"/>
      <c r="AW163" s="44"/>
      <c r="AX163" s="44"/>
      <c r="AY163" s="44"/>
      <c r="AZ163" s="53">
        <v>46364</v>
      </c>
      <c r="BA163" s="62" t="s">
        <v>201</v>
      </c>
      <c r="BB163" s="63" t="s">
        <v>201</v>
      </c>
      <c r="BC163" s="63" t="s">
        <v>201</v>
      </c>
      <c r="BD163" s="63" t="s">
        <v>201</v>
      </c>
      <c r="BE163" s="63" t="s">
        <v>201</v>
      </c>
      <c r="BF163" s="63" t="s">
        <v>201</v>
      </c>
    </row>
    <row r="164" spans="1:58">
      <c r="A164" s="46" t="s">
        <v>201</v>
      </c>
      <c r="B164" s="44" t="s">
        <v>201</v>
      </c>
      <c r="C164" s="44" t="s">
        <v>201</v>
      </c>
      <c r="D164" s="44" t="s">
        <v>201</v>
      </c>
      <c r="E164" s="44" t="s">
        <v>201</v>
      </c>
      <c r="F164" s="44" t="s">
        <v>201</v>
      </c>
      <c r="G164" s="44" t="s">
        <v>201</v>
      </c>
      <c r="H164" s="44" t="s">
        <v>201</v>
      </c>
      <c r="I164" s="44" t="s">
        <v>201</v>
      </c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  <c r="AG164" s="44"/>
      <c r="AH164" s="44"/>
      <c r="AI164" s="44"/>
      <c r="AJ164" s="44"/>
      <c r="AK164" s="44"/>
      <c r="AL164" s="44"/>
      <c r="AM164" s="44"/>
      <c r="AN164" s="44"/>
      <c r="AO164" s="44"/>
      <c r="AP164" s="44"/>
      <c r="AQ164" s="44"/>
      <c r="AR164" s="44"/>
      <c r="AS164" s="44"/>
      <c r="AT164" s="44"/>
      <c r="AU164" s="44"/>
      <c r="AV164" s="44"/>
      <c r="AW164" s="44"/>
      <c r="AX164" s="44"/>
      <c r="AY164" s="44"/>
      <c r="AZ164" s="54">
        <v>46365</v>
      </c>
      <c r="BA164" s="60" t="s">
        <v>201</v>
      </c>
      <c r="BB164" s="61" t="s">
        <v>201</v>
      </c>
      <c r="BC164" s="61" t="s">
        <v>201</v>
      </c>
      <c r="BD164" s="61" t="s">
        <v>201</v>
      </c>
      <c r="BE164" s="61" t="s">
        <v>201</v>
      </c>
      <c r="BF164" s="61" t="s">
        <v>201</v>
      </c>
    </row>
    <row r="165" spans="1:58">
      <c r="A165" s="46" t="s">
        <v>201</v>
      </c>
      <c r="B165" s="44" t="s">
        <v>201</v>
      </c>
      <c r="C165" s="44" t="s">
        <v>201</v>
      </c>
      <c r="D165" s="44" t="s">
        <v>201</v>
      </c>
      <c r="E165" s="44" t="s">
        <v>201</v>
      </c>
      <c r="F165" s="44" t="s">
        <v>201</v>
      </c>
      <c r="G165" s="44" t="s">
        <v>201</v>
      </c>
      <c r="H165" s="44" t="s">
        <v>201</v>
      </c>
      <c r="I165" s="44" t="s">
        <v>201</v>
      </c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  <c r="AG165" s="44"/>
      <c r="AH165" s="44"/>
      <c r="AI165" s="44"/>
      <c r="AJ165" s="44"/>
      <c r="AK165" s="44"/>
      <c r="AL165" s="44"/>
      <c r="AM165" s="44"/>
      <c r="AN165" s="44"/>
      <c r="AO165" s="44"/>
      <c r="AP165" s="44"/>
      <c r="AQ165" s="44"/>
      <c r="AR165" s="44"/>
      <c r="AS165" s="44"/>
      <c r="AT165" s="44"/>
      <c r="AU165" s="44"/>
      <c r="AV165" s="44"/>
      <c r="AW165" s="44"/>
      <c r="AX165" s="44"/>
      <c r="AY165" s="44"/>
      <c r="AZ165" s="53">
        <v>46366</v>
      </c>
      <c r="BA165" s="62" t="s">
        <v>201</v>
      </c>
      <c r="BB165" s="63" t="s">
        <v>201</v>
      </c>
      <c r="BC165" s="63" t="s">
        <v>201</v>
      </c>
      <c r="BD165" s="63" t="s">
        <v>201</v>
      </c>
      <c r="BE165" s="63" t="s">
        <v>201</v>
      </c>
      <c r="BF165" s="63" t="s">
        <v>201</v>
      </c>
    </row>
    <row r="166" spans="1:58">
      <c r="A166" s="46" t="s">
        <v>201</v>
      </c>
      <c r="B166" s="44" t="s">
        <v>201</v>
      </c>
      <c r="C166" s="44" t="s">
        <v>201</v>
      </c>
      <c r="D166" s="44" t="s">
        <v>201</v>
      </c>
      <c r="E166" s="44" t="s">
        <v>201</v>
      </c>
      <c r="F166" s="44" t="s">
        <v>201</v>
      </c>
      <c r="G166" s="44" t="s">
        <v>201</v>
      </c>
      <c r="H166" s="44" t="s">
        <v>201</v>
      </c>
      <c r="I166" s="44" t="s">
        <v>201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/>
      <c r="AX166" s="44"/>
      <c r="AY166" s="44"/>
      <c r="AZ166" s="54">
        <v>46367</v>
      </c>
      <c r="BA166" s="60" t="s">
        <v>201</v>
      </c>
      <c r="BB166" s="61" t="s">
        <v>201</v>
      </c>
      <c r="BC166" s="61" t="s">
        <v>201</v>
      </c>
      <c r="BD166" s="61" t="s">
        <v>201</v>
      </c>
      <c r="BE166" s="61" t="s">
        <v>201</v>
      </c>
      <c r="BF166" s="61" t="s">
        <v>201</v>
      </c>
    </row>
    <row r="167" spans="1:58">
      <c r="A167" s="46" t="s">
        <v>201</v>
      </c>
      <c r="B167" s="44" t="s">
        <v>201</v>
      </c>
      <c r="C167" s="44" t="s">
        <v>201</v>
      </c>
      <c r="D167" s="44" t="s">
        <v>201</v>
      </c>
      <c r="E167" s="44" t="s">
        <v>201</v>
      </c>
      <c r="F167" s="44" t="s">
        <v>201</v>
      </c>
      <c r="G167" s="44" t="s">
        <v>201</v>
      </c>
      <c r="H167" s="44" t="s">
        <v>201</v>
      </c>
      <c r="I167" s="44" t="s">
        <v>201</v>
      </c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53">
        <v>46368</v>
      </c>
      <c r="BA167" s="62" t="s">
        <v>201</v>
      </c>
      <c r="BB167" s="63" t="s">
        <v>201</v>
      </c>
      <c r="BC167" s="63" t="s">
        <v>201</v>
      </c>
      <c r="BD167" s="63" t="s">
        <v>201</v>
      </c>
      <c r="BE167" s="63" t="s">
        <v>201</v>
      </c>
      <c r="BF167" s="63" t="s">
        <v>201</v>
      </c>
    </row>
    <row r="168" spans="1:58">
      <c r="A168" s="46" t="s">
        <v>201</v>
      </c>
      <c r="B168" s="44" t="s">
        <v>201</v>
      </c>
      <c r="C168" s="44" t="s">
        <v>201</v>
      </c>
      <c r="D168" s="44" t="s">
        <v>201</v>
      </c>
      <c r="E168" s="44" t="s">
        <v>201</v>
      </c>
      <c r="F168" s="44" t="s">
        <v>201</v>
      </c>
      <c r="G168" s="44" t="s">
        <v>201</v>
      </c>
      <c r="H168" s="44" t="s">
        <v>201</v>
      </c>
      <c r="I168" s="44" t="s">
        <v>201</v>
      </c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  <c r="AG168" s="44"/>
      <c r="AH168" s="44"/>
      <c r="AI168" s="44"/>
      <c r="AJ168" s="44"/>
      <c r="AK168" s="44"/>
      <c r="AL168" s="44"/>
      <c r="AM168" s="44"/>
      <c r="AN168" s="44"/>
      <c r="AO168" s="44"/>
      <c r="AP168" s="44"/>
      <c r="AQ168" s="44"/>
      <c r="AR168" s="44"/>
      <c r="AS168" s="44"/>
      <c r="AT168" s="44"/>
      <c r="AU168" s="44"/>
      <c r="AV168" s="44"/>
      <c r="AW168" s="44"/>
      <c r="AX168" s="44"/>
      <c r="AY168" s="44"/>
      <c r="AZ168" s="54">
        <v>46369</v>
      </c>
      <c r="BA168" s="60" t="s">
        <v>201</v>
      </c>
      <c r="BB168" s="61" t="s">
        <v>201</v>
      </c>
      <c r="BC168" s="61" t="s">
        <v>201</v>
      </c>
      <c r="BD168" s="61" t="s">
        <v>201</v>
      </c>
      <c r="BE168" s="61" t="s">
        <v>201</v>
      </c>
      <c r="BF168" s="61" t="s">
        <v>201</v>
      </c>
    </row>
    <row r="169" spans="1:58">
      <c r="A169" s="46" t="s">
        <v>201</v>
      </c>
      <c r="B169" s="44" t="s">
        <v>201</v>
      </c>
      <c r="C169" s="44" t="s">
        <v>201</v>
      </c>
      <c r="D169" s="44" t="s">
        <v>201</v>
      </c>
      <c r="E169" s="44" t="s">
        <v>201</v>
      </c>
      <c r="F169" s="44" t="s">
        <v>201</v>
      </c>
      <c r="G169" s="44" t="s">
        <v>201</v>
      </c>
      <c r="H169" s="44" t="s">
        <v>201</v>
      </c>
      <c r="I169" s="44" t="s">
        <v>201</v>
      </c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44"/>
      <c r="AL169" s="44"/>
      <c r="AM169" s="44"/>
      <c r="AN169" s="44"/>
      <c r="AO169" s="44"/>
      <c r="AP169" s="44"/>
      <c r="AQ169" s="44"/>
      <c r="AR169" s="44"/>
      <c r="AS169" s="44"/>
      <c r="AT169" s="44"/>
      <c r="AU169" s="44"/>
      <c r="AV169" s="44"/>
      <c r="AW169" s="44"/>
      <c r="AX169" s="44"/>
      <c r="AY169" s="44"/>
      <c r="AZ169" s="53">
        <v>46370</v>
      </c>
      <c r="BA169" s="62" t="s">
        <v>201</v>
      </c>
      <c r="BB169" s="63" t="s">
        <v>201</v>
      </c>
      <c r="BC169" s="63" t="s">
        <v>201</v>
      </c>
      <c r="BD169" s="63" t="s">
        <v>201</v>
      </c>
      <c r="BE169" s="63" t="s">
        <v>201</v>
      </c>
      <c r="BF169" s="63" t="s">
        <v>201</v>
      </c>
    </row>
    <row r="170" spans="1:58">
      <c r="A170" s="46" t="s">
        <v>201</v>
      </c>
      <c r="B170" s="44" t="s">
        <v>201</v>
      </c>
      <c r="C170" s="44" t="s">
        <v>201</v>
      </c>
      <c r="D170" s="44" t="s">
        <v>201</v>
      </c>
      <c r="E170" s="44" t="s">
        <v>201</v>
      </c>
      <c r="F170" s="44" t="s">
        <v>201</v>
      </c>
      <c r="G170" s="44" t="s">
        <v>201</v>
      </c>
      <c r="H170" s="44" t="s">
        <v>201</v>
      </c>
      <c r="I170" s="44" t="s">
        <v>201</v>
      </c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54">
        <v>46371</v>
      </c>
      <c r="BA170" s="60" t="s">
        <v>201</v>
      </c>
      <c r="BB170" s="61" t="s">
        <v>201</v>
      </c>
      <c r="BC170" s="61" t="s">
        <v>201</v>
      </c>
      <c r="BD170" s="61" t="s">
        <v>201</v>
      </c>
      <c r="BE170" s="61" t="s">
        <v>201</v>
      </c>
      <c r="BF170" s="61" t="s">
        <v>201</v>
      </c>
    </row>
    <row r="171" spans="1:58">
      <c r="A171" s="46" t="s">
        <v>201</v>
      </c>
      <c r="B171" s="44" t="s">
        <v>201</v>
      </c>
      <c r="C171" s="44" t="s">
        <v>201</v>
      </c>
      <c r="D171" s="44" t="s">
        <v>201</v>
      </c>
      <c r="E171" s="44" t="s">
        <v>201</v>
      </c>
      <c r="F171" s="44" t="s">
        <v>201</v>
      </c>
      <c r="G171" s="44" t="s">
        <v>201</v>
      </c>
      <c r="H171" s="44" t="s">
        <v>201</v>
      </c>
      <c r="I171" s="44" t="s">
        <v>201</v>
      </c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53">
        <v>46372</v>
      </c>
      <c r="BA171" s="62" t="s">
        <v>201</v>
      </c>
      <c r="BB171" s="63" t="s">
        <v>201</v>
      </c>
      <c r="BC171" s="63" t="s">
        <v>201</v>
      </c>
      <c r="BD171" s="63" t="s">
        <v>201</v>
      </c>
      <c r="BE171" s="63" t="s">
        <v>201</v>
      </c>
      <c r="BF171" s="63" t="s">
        <v>201</v>
      </c>
    </row>
    <row r="172" spans="1:58">
      <c r="A172" s="46" t="s">
        <v>201</v>
      </c>
      <c r="B172" s="44" t="s">
        <v>201</v>
      </c>
      <c r="C172" s="44" t="s">
        <v>201</v>
      </c>
      <c r="D172" s="44" t="s">
        <v>201</v>
      </c>
      <c r="E172" s="44" t="s">
        <v>201</v>
      </c>
      <c r="F172" s="44" t="s">
        <v>201</v>
      </c>
      <c r="G172" s="44" t="s">
        <v>201</v>
      </c>
      <c r="H172" s="44" t="s">
        <v>201</v>
      </c>
      <c r="I172" s="44" t="s">
        <v>201</v>
      </c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54">
        <v>46373</v>
      </c>
      <c r="BA172" s="60" t="s">
        <v>201</v>
      </c>
      <c r="BB172" s="61" t="s">
        <v>201</v>
      </c>
      <c r="BC172" s="61" t="s">
        <v>201</v>
      </c>
      <c r="BD172" s="61" t="s">
        <v>201</v>
      </c>
      <c r="BE172" s="61" t="s">
        <v>201</v>
      </c>
      <c r="BF172" s="61" t="s">
        <v>201</v>
      </c>
    </row>
    <row r="173" spans="1:58">
      <c r="A173" s="46" t="s">
        <v>201</v>
      </c>
      <c r="B173" s="44" t="s">
        <v>201</v>
      </c>
      <c r="C173" s="44" t="s">
        <v>201</v>
      </c>
      <c r="D173" s="44" t="s">
        <v>201</v>
      </c>
      <c r="E173" s="44" t="s">
        <v>201</v>
      </c>
      <c r="F173" s="44" t="s">
        <v>201</v>
      </c>
      <c r="G173" s="44" t="s">
        <v>201</v>
      </c>
      <c r="H173" s="44" t="s">
        <v>201</v>
      </c>
      <c r="I173" s="44" t="s">
        <v>201</v>
      </c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53">
        <v>46374</v>
      </c>
      <c r="BA173" s="62" t="s">
        <v>201</v>
      </c>
      <c r="BB173" s="63" t="s">
        <v>201</v>
      </c>
      <c r="BC173" s="63" t="s">
        <v>201</v>
      </c>
      <c r="BD173" s="63" t="s">
        <v>201</v>
      </c>
      <c r="BE173" s="63" t="s">
        <v>201</v>
      </c>
      <c r="BF173" s="63" t="s">
        <v>201</v>
      </c>
    </row>
    <row r="174" spans="1:58">
      <c r="A174" s="46" t="s">
        <v>201</v>
      </c>
      <c r="B174" s="44" t="s">
        <v>201</v>
      </c>
      <c r="C174" s="44" t="s">
        <v>201</v>
      </c>
      <c r="D174" s="44" t="s">
        <v>201</v>
      </c>
      <c r="E174" s="44" t="s">
        <v>201</v>
      </c>
      <c r="F174" s="44" t="s">
        <v>201</v>
      </c>
      <c r="G174" s="44" t="s">
        <v>201</v>
      </c>
      <c r="H174" s="44" t="s">
        <v>201</v>
      </c>
      <c r="I174" s="44" t="s">
        <v>201</v>
      </c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54">
        <v>46375</v>
      </c>
      <c r="BA174" s="60" t="s">
        <v>201</v>
      </c>
      <c r="BB174" s="61" t="s">
        <v>201</v>
      </c>
      <c r="BC174" s="61" t="s">
        <v>201</v>
      </c>
      <c r="BD174" s="61" t="s">
        <v>201</v>
      </c>
      <c r="BE174" s="61" t="s">
        <v>201</v>
      </c>
      <c r="BF174" s="61" t="s">
        <v>201</v>
      </c>
    </row>
    <row r="175" spans="1:58">
      <c r="A175" s="46" t="s">
        <v>201</v>
      </c>
      <c r="B175" s="44" t="s">
        <v>201</v>
      </c>
      <c r="C175" s="44" t="s">
        <v>201</v>
      </c>
      <c r="D175" s="44" t="s">
        <v>201</v>
      </c>
      <c r="E175" s="44" t="s">
        <v>201</v>
      </c>
      <c r="F175" s="44" t="s">
        <v>201</v>
      </c>
      <c r="G175" s="44" t="s">
        <v>201</v>
      </c>
      <c r="H175" s="44" t="s">
        <v>201</v>
      </c>
      <c r="I175" s="44" t="s">
        <v>201</v>
      </c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53">
        <v>46376</v>
      </c>
      <c r="BA175" s="62" t="s">
        <v>201</v>
      </c>
      <c r="BB175" s="63" t="s">
        <v>201</v>
      </c>
      <c r="BC175" s="63" t="s">
        <v>201</v>
      </c>
      <c r="BD175" s="63" t="s">
        <v>201</v>
      </c>
      <c r="BE175" s="63" t="s">
        <v>201</v>
      </c>
      <c r="BF175" s="63" t="s">
        <v>201</v>
      </c>
    </row>
    <row r="176" spans="1:58">
      <c r="A176" s="46" t="s">
        <v>201</v>
      </c>
      <c r="B176" s="44" t="s">
        <v>201</v>
      </c>
      <c r="C176" s="44" t="s">
        <v>201</v>
      </c>
      <c r="D176" s="44" t="s">
        <v>201</v>
      </c>
      <c r="E176" s="44" t="s">
        <v>201</v>
      </c>
      <c r="F176" s="44" t="s">
        <v>201</v>
      </c>
      <c r="G176" s="44" t="s">
        <v>201</v>
      </c>
      <c r="H176" s="44" t="s">
        <v>201</v>
      </c>
      <c r="I176" s="44" t="s">
        <v>201</v>
      </c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54">
        <v>46377</v>
      </c>
      <c r="BA176" s="60" t="s">
        <v>201</v>
      </c>
      <c r="BB176" s="61" t="s">
        <v>201</v>
      </c>
      <c r="BC176" s="61" t="s">
        <v>201</v>
      </c>
      <c r="BD176" s="61" t="s">
        <v>201</v>
      </c>
      <c r="BE176" s="61" t="s">
        <v>201</v>
      </c>
      <c r="BF176" s="61" t="s">
        <v>201</v>
      </c>
    </row>
    <row r="177" spans="1:58">
      <c r="A177" s="46" t="s">
        <v>201</v>
      </c>
      <c r="B177" s="44" t="s">
        <v>201</v>
      </c>
      <c r="C177" s="44" t="s">
        <v>201</v>
      </c>
      <c r="D177" s="44" t="s">
        <v>201</v>
      </c>
      <c r="E177" s="44" t="s">
        <v>201</v>
      </c>
      <c r="F177" s="44" t="s">
        <v>201</v>
      </c>
      <c r="G177" s="44" t="s">
        <v>201</v>
      </c>
      <c r="H177" s="44" t="s">
        <v>201</v>
      </c>
      <c r="I177" s="44" t="s">
        <v>201</v>
      </c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53">
        <v>46378</v>
      </c>
      <c r="BA177" s="62" t="s">
        <v>201</v>
      </c>
      <c r="BB177" s="63" t="s">
        <v>201</v>
      </c>
      <c r="BC177" s="63" t="s">
        <v>201</v>
      </c>
      <c r="BD177" s="63" t="s">
        <v>201</v>
      </c>
      <c r="BE177" s="63" t="s">
        <v>201</v>
      </c>
      <c r="BF177" s="63" t="s">
        <v>201</v>
      </c>
    </row>
    <row r="178" spans="1:58">
      <c r="A178" s="46" t="s">
        <v>201</v>
      </c>
      <c r="B178" s="44" t="s">
        <v>201</v>
      </c>
      <c r="C178" s="44" t="s">
        <v>201</v>
      </c>
      <c r="D178" s="44" t="s">
        <v>201</v>
      </c>
      <c r="E178" s="44" t="s">
        <v>201</v>
      </c>
      <c r="F178" s="44" t="s">
        <v>201</v>
      </c>
      <c r="G178" s="44" t="s">
        <v>201</v>
      </c>
      <c r="H178" s="44" t="s">
        <v>201</v>
      </c>
      <c r="I178" s="44" t="s">
        <v>201</v>
      </c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54">
        <v>46379</v>
      </c>
      <c r="BA178" s="60" t="s">
        <v>201</v>
      </c>
      <c r="BB178" s="61" t="s">
        <v>201</v>
      </c>
      <c r="BC178" s="61" t="s">
        <v>201</v>
      </c>
      <c r="BD178" s="61" t="s">
        <v>201</v>
      </c>
      <c r="BE178" s="61" t="s">
        <v>201</v>
      </c>
      <c r="BF178" s="61" t="s">
        <v>201</v>
      </c>
    </row>
    <row r="179" spans="1:58">
      <c r="A179" s="46" t="s">
        <v>201</v>
      </c>
      <c r="B179" s="44" t="s">
        <v>201</v>
      </c>
      <c r="C179" s="44" t="s">
        <v>201</v>
      </c>
      <c r="D179" s="44" t="s">
        <v>201</v>
      </c>
      <c r="E179" s="44" t="s">
        <v>201</v>
      </c>
      <c r="F179" s="44" t="s">
        <v>201</v>
      </c>
      <c r="G179" s="44" t="s">
        <v>201</v>
      </c>
      <c r="H179" s="44" t="s">
        <v>201</v>
      </c>
      <c r="I179" s="44" t="s">
        <v>201</v>
      </c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53">
        <v>46380</v>
      </c>
      <c r="BA179" s="62" t="s">
        <v>201</v>
      </c>
      <c r="BB179" s="63" t="s">
        <v>201</v>
      </c>
      <c r="BC179" s="63" t="s">
        <v>201</v>
      </c>
      <c r="BD179" s="63" t="s">
        <v>201</v>
      </c>
      <c r="BE179" s="63" t="s">
        <v>201</v>
      </c>
      <c r="BF179" s="63" t="s">
        <v>201</v>
      </c>
    </row>
    <row r="180" spans="1:58">
      <c r="A180" s="46" t="s">
        <v>201</v>
      </c>
      <c r="B180" s="44" t="s">
        <v>201</v>
      </c>
      <c r="C180" s="44" t="s">
        <v>201</v>
      </c>
      <c r="D180" s="44" t="s">
        <v>201</v>
      </c>
      <c r="E180" s="44" t="s">
        <v>201</v>
      </c>
      <c r="F180" s="44" t="s">
        <v>201</v>
      </c>
      <c r="G180" s="44" t="s">
        <v>201</v>
      </c>
      <c r="H180" s="44" t="s">
        <v>201</v>
      </c>
      <c r="I180" s="44" t="s">
        <v>201</v>
      </c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  <c r="AD180" s="44"/>
      <c r="AE180" s="44"/>
      <c r="AF180" s="44"/>
      <c r="AG180" s="44"/>
      <c r="AH180" s="44"/>
      <c r="AI180" s="44"/>
      <c r="AJ180" s="44"/>
      <c r="AK180" s="44"/>
      <c r="AL180" s="44"/>
      <c r="AM180" s="44"/>
      <c r="AN180" s="44"/>
      <c r="AO180" s="44"/>
      <c r="AP180" s="44"/>
      <c r="AQ180" s="44"/>
      <c r="AR180" s="44"/>
      <c r="AS180" s="44"/>
      <c r="AT180" s="44"/>
      <c r="AU180" s="44"/>
      <c r="AV180" s="44"/>
      <c r="AW180" s="44"/>
      <c r="AX180" s="44"/>
      <c r="AY180" s="44"/>
      <c r="AZ180" s="54">
        <v>46381</v>
      </c>
      <c r="BA180" s="60" t="s">
        <v>201</v>
      </c>
      <c r="BB180" s="61" t="s">
        <v>201</v>
      </c>
      <c r="BC180" s="61" t="s">
        <v>201</v>
      </c>
      <c r="BD180" s="61" t="s">
        <v>201</v>
      </c>
      <c r="BE180" s="61" t="s">
        <v>201</v>
      </c>
      <c r="BF180" s="61" t="s">
        <v>201</v>
      </c>
    </row>
    <row r="181" spans="1:58">
      <c r="A181" s="46" t="s">
        <v>201</v>
      </c>
      <c r="B181" s="44" t="s">
        <v>201</v>
      </c>
      <c r="C181" s="44" t="s">
        <v>201</v>
      </c>
      <c r="D181" s="44" t="s">
        <v>201</v>
      </c>
      <c r="E181" s="44" t="s">
        <v>201</v>
      </c>
      <c r="F181" s="44" t="s">
        <v>201</v>
      </c>
      <c r="G181" s="44" t="s">
        <v>201</v>
      </c>
      <c r="H181" s="44" t="s">
        <v>201</v>
      </c>
      <c r="I181" s="44" t="s">
        <v>201</v>
      </c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  <c r="AD181" s="44"/>
      <c r="AE181" s="44"/>
      <c r="AF181" s="44"/>
      <c r="AG181" s="44"/>
      <c r="AH181" s="44"/>
      <c r="AI181" s="44"/>
      <c r="AJ181" s="44"/>
      <c r="AK181" s="44"/>
      <c r="AL181" s="44"/>
      <c r="AM181" s="44"/>
      <c r="AN181" s="44"/>
      <c r="AO181" s="44"/>
      <c r="AP181" s="44"/>
      <c r="AQ181" s="44"/>
      <c r="AR181" s="44"/>
      <c r="AS181" s="44"/>
      <c r="AT181" s="44"/>
      <c r="AU181" s="44"/>
      <c r="AV181" s="44"/>
      <c r="AW181" s="44"/>
      <c r="AX181" s="44"/>
      <c r="AY181" s="44"/>
      <c r="AZ181" s="53">
        <v>46382</v>
      </c>
      <c r="BA181" s="62" t="s">
        <v>201</v>
      </c>
      <c r="BB181" s="63" t="s">
        <v>201</v>
      </c>
      <c r="BC181" s="63" t="s">
        <v>201</v>
      </c>
      <c r="BD181" s="63" t="s">
        <v>201</v>
      </c>
      <c r="BE181" s="63" t="s">
        <v>201</v>
      </c>
      <c r="BF181" s="63" t="s">
        <v>201</v>
      </c>
    </row>
    <row r="182" spans="1:58">
      <c r="A182" s="46" t="s">
        <v>201</v>
      </c>
      <c r="B182" s="44" t="s">
        <v>201</v>
      </c>
      <c r="C182" s="44" t="s">
        <v>201</v>
      </c>
      <c r="D182" s="44" t="s">
        <v>201</v>
      </c>
      <c r="E182" s="44" t="s">
        <v>201</v>
      </c>
      <c r="F182" s="44" t="s">
        <v>201</v>
      </c>
      <c r="G182" s="44" t="s">
        <v>201</v>
      </c>
      <c r="H182" s="44" t="s">
        <v>201</v>
      </c>
      <c r="I182" s="44" t="s">
        <v>201</v>
      </c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  <c r="AD182" s="44"/>
      <c r="AE182" s="44"/>
      <c r="AF182" s="44"/>
      <c r="AG182" s="44"/>
      <c r="AH182" s="44"/>
      <c r="AI182" s="44"/>
      <c r="AJ182" s="44"/>
      <c r="AK182" s="44"/>
      <c r="AL182" s="44"/>
      <c r="AM182" s="44"/>
      <c r="AN182" s="44"/>
      <c r="AO182" s="44"/>
      <c r="AP182" s="44"/>
      <c r="AQ182" s="44"/>
      <c r="AR182" s="44"/>
      <c r="AS182" s="44"/>
      <c r="AT182" s="44"/>
      <c r="AU182" s="44"/>
      <c r="AV182" s="44"/>
      <c r="AW182" s="44"/>
      <c r="AX182" s="44"/>
      <c r="AY182" s="44"/>
      <c r="AZ182" s="54">
        <v>46383</v>
      </c>
      <c r="BA182" s="60" t="s">
        <v>201</v>
      </c>
      <c r="BB182" s="61" t="s">
        <v>201</v>
      </c>
      <c r="BC182" s="61" t="s">
        <v>201</v>
      </c>
      <c r="BD182" s="61" t="s">
        <v>201</v>
      </c>
      <c r="BE182" s="61" t="s">
        <v>201</v>
      </c>
      <c r="BF182" s="61" t="s">
        <v>201</v>
      </c>
    </row>
    <row r="183" spans="1:58">
      <c r="A183" s="46" t="s">
        <v>201</v>
      </c>
      <c r="B183" s="44" t="s">
        <v>201</v>
      </c>
      <c r="C183" s="44" t="s">
        <v>201</v>
      </c>
      <c r="D183" s="44" t="s">
        <v>201</v>
      </c>
      <c r="E183" s="44" t="s">
        <v>201</v>
      </c>
      <c r="F183" s="44" t="s">
        <v>201</v>
      </c>
      <c r="G183" s="44" t="s">
        <v>201</v>
      </c>
      <c r="H183" s="44" t="s">
        <v>201</v>
      </c>
      <c r="I183" s="44" t="s">
        <v>201</v>
      </c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  <c r="AD183" s="44"/>
      <c r="AE183" s="44"/>
      <c r="AF183" s="44"/>
      <c r="AG183" s="44"/>
      <c r="AH183" s="44"/>
      <c r="AI183" s="44"/>
      <c r="AJ183" s="44"/>
      <c r="AK183" s="44"/>
      <c r="AL183" s="44"/>
      <c r="AM183" s="44"/>
      <c r="AN183" s="44"/>
      <c r="AO183" s="44"/>
      <c r="AP183" s="44"/>
      <c r="AQ183" s="44"/>
      <c r="AR183" s="44"/>
      <c r="AS183" s="44"/>
      <c r="AT183" s="44"/>
      <c r="AU183" s="44"/>
      <c r="AV183" s="44"/>
      <c r="AW183" s="44"/>
      <c r="AX183" s="44"/>
      <c r="AY183" s="44"/>
      <c r="AZ183" s="53">
        <v>46384</v>
      </c>
      <c r="BA183" s="62" t="s">
        <v>201</v>
      </c>
      <c r="BB183" s="63" t="s">
        <v>201</v>
      </c>
      <c r="BC183" s="63" t="s">
        <v>201</v>
      </c>
      <c r="BD183" s="63" t="s">
        <v>201</v>
      </c>
      <c r="BE183" s="63" t="s">
        <v>201</v>
      </c>
      <c r="BF183" s="63" t="s">
        <v>201</v>
      </c>
    </row>
    <row r="184" spans="1:58">
      <c r="A184" s="46" t="s">
        <v>201</v>
      </c>
      <c r="B184" s="44" t="s">
        <v>201</v>
      </c>
      <c r="C184" s="44" t="s">
        <v>201</v>
      </c>
      <c r="D184" s="44" t="s">
        <v>201</v>
      </c>
      <c r="E184" s="44" t="s">
        <v>201</v>
      </c>
      <c r="F184" s="44" t="s">
        <v>201</v>
      </c>
      <c r="G184" s="44" t="s">
        <v>201</v>
      </c>
      <c r="H184" s="44" t="s">
        <v>201</v>
      </c>
      <c r="I184" s="44" t="s">
        <v>201</v>
      </c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  <c r="AD184" s="44"/>
      <c r="AE184" s="44"/>
      <c r="AF184" s="44"/>
      <c r="AG184" s="44"/>
      <c r="AH184" s="44"/>
      <c r="AI184" s="44"/>
      <c r="AJ184" s="44"/>
      <c r="AK184" s="44"/>
      <c r="AL184" s="44"/>
      <c r="AM184" s="44"/>
      <c r="AN184" s="44"/>
      <c r="AO184" s="44"/>
      <c r="AP184" s="44"/>
      <c r="AQ184" s="44"/>
      <c r="AR184" s="44"/>
      <c r="AS184" s="44"/>
      <c r="AT184" s="44"/>
      <c r="AU184" s="44"/>
      <c r="AV184" s="44"/>
      <c r="AW184" s="44"/>
      <c r="AX184" s="44"/>
      <c r="AY184" s="44"/>
      <c r="AZ184" s="54">
        <v>46385</v>
      </c>
      <c r="BA184" s="60" t="s">
        <v>201</v>
      </c>
      <c r="BB184" s="61" t="s">
        <v>201</v>
      </c>
      <c r="BC184" s="61" t="s">
        <v>201</v>
      </c>
      <c r="BD184" s="61" t="s">
        <v>201</v>
      </c>
      <c r="BE184" s="61" t="s">
        <v>201</v>
      </c>
      <c r="BF184" s="61" t="s">
        <v>201</v>
      </c>
    </row>
    <row r="185" spans="1:58">
      <c r="A185" s="46" t="s">
        <v>201</v>
      </c>
      <c r="B185" s="44" t="s">
        <v>201</v>
      </c>
      <c r="C185" s="44" t="s">
        <v>201</v>
      </c>
      <c r="D185" s="44" t="s">
        <v>201</v>
      </c>
      <c r="E185" s="44" t="s">
        <v>201</v>
      </c>
      <c r="F185" s="44" t="s">
        <v>201</v>
      </c>
      <c r="G185" s="44" t="s">
        <v>201</v>
      </c>
      <c r="H185" s="44" t="s">
        <v>201</v>
      </c>
      <c r="I185" s="44" t="s">
        <v>201</v>
      </c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  <c r="AD185" s="44"/>
      <c r="AE185" s="44"/>
      <c r="AF185" s="44"/>
      <c r="AG185" s="44"/>
      <c r="AH185" s="44"/>
      <c r="AI185" s="44"/>
      <c r="AJ185" s="44"/>
      <c r="AK185" s="44"/>
      <c r="AL185" s="44"/>
      <c r="AM185" s="44"/>
      <c r="AN185" s="44"/>
      <c r="AO185" s="44"/>
      <c r="AP185" s="44"/>
      <c r="AQ185" s="44"/>
      <c r="AR185" s="44"/>
      <c r="AS185" s="44"/>
      <c r="AT185" s="44"/>
      <c r="AU185" s="44"/>
      <c r="AV185" s="44"/>
      <c r="AW185" s="44"/>
      <c r="AX185" s="44"/>
      <c r="AY185" s="44"/>
      <c r="AZ185" s="53">
        <v>46386</v>
      </c>
      <c r="BA185" s="62" t="s">
        <v>201</v>
      </c>
      <c r="BB185" s="63" t="s">
        <v>201</v>
      </c>
      <c r="BC185" s="63" t="s">
        <v>201</v>
      </c>
      <c r="BD185" s="63" t="s">
        <v>201</v>
      </c>
      <c r="BE185" s="63" t="s">
        <v>201</v>
      </c>
      <c r="BF185" s="63" t="s">
        <v>201</v>
      </c>
    </row>
    <row r="186" spans="1:58">
      <c r="A186" s="46" t="s">
        <v>201</v>
      </c>
      <c r="B186" s="44" t="s">
        <v>201</v>
      </c>
      <c r="C186" s="44" t="s">
        <v>201</v>
      </c>
      <c r="D186" s="44" t="s">
        <v>201</v>
      </c>
      <c r="E186" s="44" t="s">
        <v>201</v>
      </c>
      <c r="F186" s="44" t="s">
        <v>201</v>
      </c>
      <c r="G186" s="44" t="s">
        <v>201</v>
      </c>
      <c r="H186" s="44" t="s">
        <v>201</v>
      </c>
      <c r="I186" s="44" t="s">
        <v>201</v>
      </c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  <c r="AD186" s="44"/>
      <c r="AE186" s="44"/>
      <c r="AF186" s="44"/>
      <c r="AG186" s="44"/>
      <c r="AH186" s="44"/>
      <c r="AI186" s="44"/>
      <c r="AJ186" s="44"/>
      <c r="AK186" s="44"/>
      <c r="AL186" s="44"/>
      <c r="AM186" s="44"/>
      <c r="AN186" s="44"/>
      <c r="AO186" s="44"/>
      <c r="AP186" s="44"/>
      <c r="AQ186" s="44"/>
      <c r="AR186" s="44"/>
      <c r="AS186" s="44"/>
      <c r="AT186" s="44"/>
      <c r="AU186" s="44"/>
      <c r="AV186" s="44"/>
      <c r="AW186" s="44"/>
      <c r="AX186" s="44"/>
      <c r="AY186" s="44"/>
      <c r="AZ186" s="54">
        <v>46387</v>
      </c>
      <c r="BA186" s="60" t="s">
        <v>201</v>
      </c>
      <c r="BB186" s="61" t="s">
        <v>201</v>
      </c>
      <c r="BC186" s="61" t="s">
        <v>201</v>
      </c>
      <c r="BD186" s="61" t="s">
        <v>201</v>
      </c>
      <c r="BE186" s="61" t="s">
        <v>201</v>
      </c>
      <c r="BF186" s="61" t="s">
        <v>201</v>
      </c>
    </row>
    <row r="187" spans="1:58">
      <c r="A187" s="46" t="s">
        <v>201</v>
      </c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</row>
    <row r="188" spans="1:58">
      <c r="A188" s="46" t="s">
        <v>201</v>
      </c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</row>
    <row r="189" spans="1:58">
      <c r="A189" s="46" t="s">
        <v>201</v>
      </c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</row>
    <row r="190" spans="1:58">
      <c r="A190" s="46" t="s">
        <v>201</v>
      </c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</row>
    <row r="191" spans="1:58">
      <c r="A191" s="46" t="s">
        <v>201</v>
      </c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</row>
    <row r="192" spans="1:58">
      <c r="A192" s="46" t="s">
        <v>201</v>
      </c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</row>
    <row r="193" spans="1:21">
      <c r="A193" s="46" t="s">
        <v>201</v>
      </c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</row>
    <row r="194" spans="1:21">
      <c r="A194" s="46" t="s">
        <v>201</v>
      </c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</row>
    <row r="195" spans="1:21">
      <c r="A195" s="44" t="s">
        <v>201</v>
      </c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</row>
    <row r="196" spans="1:21">
      <c r="A196" s="44" t="s">
        <v>201</v>
      </c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</row>
    <row r="197" spans="1:21">
      <c r="A197" s="44" t="s">
        <v>201</v>
      </c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</row>
    <row r="198" spans="1:21">
      <c r="A198" s="44" t="s">
        <v>201</v>
      </c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</row>
    <row r="199" spans="1:21">
      <c r="A199" s="44" t="s">
        <v>201</v>
      </c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</row>
  </sheetData>
  <mergeCells count="4">
    <mergeCell ref="C1:N1"/>
    <mergeCell ref="O1:Z1"/>
    <mergeCell ref="AA1:AL1"/>
    <mergeCell ref="AM1:AX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8867580-4592-47a8-a490-5f1990c83971" xsi:nil="true"/>
    <lcf76f155ced4ddcb4097134ff3c332f xmlns="6f4b1271-3e48-4fa4-9395-5da21e2ace23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1D466C73CDF643807BA842554885B1" ma:contentTypeVersion="16" ma:contentTypeDescription="Crear nuevo documento." ma:contentTypeScope="" ma:versionID="8e1c5aa86496f51e6901b2b089969625">
  <xsd:schema xmlns:xsd="http://www.w3.org/2001/XMLSchema" xmlns:xs="http://www.w3.org/2001/XMLSchema" xmlns:p="http://schemas.microsoft.com/office/2006/metadata/properties" xmlns:ns2="6f4b1271-3e48-4fa4-9395-5da21e2ace23" xmlns:ns3="28867580-4592-47a8-a490-5f1990c83971" targetNamespace="http://schemas.microsoft.com/office/2006/metadata/properties" ma:root="true" ma:fieldsID="8574df20a81ac730ef1e2c2435c9ef30" ns2:_="" ns3:_="">
    <xsd:import namespace="6f4b1271-3e48-4fa4-9395-5da21e2ace23"/>
    <xsd:import namespace="28867580-4592-47a8-a490-5f1990c839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4b1271-3e48-4fa4-9395-5da21e2ace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aabc8f33-ee36-423c-af3d-fc7009dd3b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867580-4592-47a8-a490-5f1990c8397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7fb74ee-af40-4cc9-bfa0-1d1e117c2076}" ma:internalName="TaxCatchAll" ma:showField="CatchAllData" ma:web="28867580-4592-47a8-a490-5f1990c839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4CBE609-95E4-45D1-B334-D32AADDB8A39}"/>
</file>

<file path=customXml/itemProps2.xml><?xml version="1.0" encoding="utf-8"?>
<ds:datastoreItem xmlns:ds="http://schemas.openxmlformats.org/officeDocument/2006/customXml" ds:itemID="{ABBBF542-46E2-4D90-B593-1F03D9E2A95E}"/>
</file>

<file path=customXml/itemProps3.xml><?xml version="1.0" encoding="utf-8"?>
<ds:datastoreItem xmlns:ds="http://schemas.openxmlformats.org/officeDocument/2006/customXml" ds:itemID="{DE668D04-A599-40BD-83B4-4E55F7C43B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2026-04-11T12:55:12Z</dcterms:created>
  <dcterms:modified xsi:type="dcterms:W3CDTF">2026-07-20T10:56:39Z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0x010100711D466C73CDF643807BA842554885B1</vt:lpwstr>
  </property>
  <property fmtid="{D5CDD505-2E9C-101B-9397-08002B2CF9AE}" pid="3" name="MediaServiceImageTags">
    <vt:lpwstr/>
  </property>
</Properties>
</file>