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xr:revisionPtr revIDLastSave="0" documentId="8_{8E5EEE44-6D32-495A-8A88-9D6C5818353F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Invierno" sheetId="1" r:id="rId1"/>
    <sheet name="Verano" sheetId="2" r:id="rId2"/>
    <sheet name="Lluvias" sheetId="3" r:id="rId3"/>
  </sheets>
  <definedNames>
    <definedName name="_xlnm._FilterDatabase" localSheetId="0" hidden="1">Invierno!$A$2:$AI$53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3" l="1"/>
  <c r="AR4" i="3"/>
  <c r="AR5" i="3"/>
  <c r="AR6" i="3"/>
  <c r="AO7" i="3"/>
  <c r="AL7" i="3"/>
  <c r="AK7" i="3"/>
  <c r="AJ7" i="3"/>
  <c r="AI7" i="3"/>
  <c r="AH7" i="3"/>
  <c r="AF7" i="3"/>
  <c r="AO6" i="3"/>
  <c r="AL6" i="3"/>
  <c r="AK6" i="3"/>
  <c r="AJ6" i="3"/>
  <c r="AI6" i="3"/>
  <c r="AH6" i="3"/>
  <c r="AF6" i="3"/>
  <c r="AO5" i="3"/>
  <c r="AL5" i="3"/>
  <c r="AK5" i="3"/>
  <c r="AJ5" i="3"/>
  <c r="AI5" i="3"/>
  <c r="AH5" i="3"/>
  <c r="AF5" i="3"/>
  <c r="AO4" i="3"/>
  <c r="AL4" i="3"/>
  <c r="AK4" i="3"/>
  <c r="AJ4" i="3"/>
  <c r="AI4" i="3"/>
  <c r="AH4" i="3"/>
  <c r="AF4" i="3"/>
  <c r="AO3" i="3"/>
  <c r="AL3" i="3"/>
  <c r="AK3" i="3"/>
  <c r="AJ3" i="3"/>
  <c r="AI3" i="3"/>
  <c r="AH3" i="3"/>
  <c r="AF3" i="3"/>
  <c r="CI46" i="1"/>
  <c r="CI47" i="1"/>
  <c r="CI48" i="1"/>
  <c r="CI49" i="1"/>
  <c r="CI50" i="1"/>
  <c r="CI51" i="1"/>
  <c r="CI52" i="1"/>
  <c r="CI5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3" i="1"/>
</calcChain>
</file>

<file path=xl/sharedStrings.xml><?xml version="1.0" encoding="utf-8"?>
<sst xmlns="http://schemas.openxmlformats.org/spreadsheetml/2006/main" count="924" uniqueCount="169">
  <si>
    <t>Análisis suelo</t>
  </si>
  <si>
    <t>Fertilización basal</t>
  </si>
  <si>
    <t>Barbecho</t>
  </si>
  <si>
    <t>Doble golpe</t>
  </si>
  <si>
    <t>Siembra</t>
  </si>
  <si>
    <t>Resiembra</t>
  </si>
  <si>
    <t>Resiembra 2</t>
  </si>
  <si>
    <t>Hormiguicida</t>
  </si>
  <si>
    <t>IMPLANTACION</t>
  </si>
  <si>
    <t>Fertilización Siembra</t>
  </si>
  <si>
    <t>Fertilización z22-B4</t>
  </si>
  <si>
    <t>Fertilización z30</t>
  </si>
  <si>
    <t>Fertilización z33</t>
  </si>
  <si>
    <t>Zinc foliar</t>
  </si>
  <si>
    <t>Ácidos húmicos</t>
  </si>
  <si>
    <t>Repaso</t>
  </si>
  <si>
    <t>Fungicida 1</t>
  </si>
  <si>
    <t>Fungicida 2</t>
  </si>
  <si>
    <t>Fungicida 3</t>
  </si>
  <si>
    <t>Estimación rinde</t>
  </si>
  <si>
    <t>Campo</t>
  </si>
  <si>
    <t>Lote Ceres</t>
  </si>
  <si>
    <t>Has</t>
  </si>
  <si>
    <t xml:space="preserve">Cultivo antecesor Verano </t>
  </si>
  <si>
    <t>Cult Invierno</t>
  </si>
  <si>
    <t>Fecha</t>
  </si>
  <si>
    <t>Laboratorio</t>
  </si>
  <si>
    <t>N</t>
  </si>
  <si>
    <t>P</t>
  </si>
  <si>
    <t>K</t>
  </si>
  <si>
    <t>S</t>
  </si>
  <si>
    <t>Zn</t>
  </si>
  <si>
    <t>ph</t>
  </si>
  <si>
    <t>MO</t>
  </si>
  <si>
    <t>SPT</t>
  </si>
  <si>
    <t>KCL</t>
  </si>
  <si>
    <t>Foszinc</t>
  </si>
  <si>
    <t>CaSO4</t>
  </si>
  <si>
    <t>Origen P</t>
  </si>
  <si>
    <t>Origen K</t>
  </si>
  <si>
    <t>Origen S</t>
  </si>
  <si>
    <t>Fecha (P)</t>
  </si>
  <si>
    <t>Fecha (k)</t>
  </si>
  <si>
    <t>Fecha (S)</t>
  </si>
  <si>
    <t>Contratista</t>
  </si>
  <si>
    <t>Glifo</t>
  </si>
  <si>
    <t>Cletodim</t>
  </si>
  <si>
    <t>Starane</t>
  </si>
  <si>
    <t>Amina</t>
  </si>
  <si>
    <t>Azugro</t>
  </si>
  <si>
    <t>Pixaro</t>
  </si>
  <si>
    <t>Piroxasulfone</t>
  </si>
  <si>
    <t>Diquat</t>
  </si>
  <si>
    <t>Variedad</t>
  </si>
  <si>
    <t>Origen semilla</t>
  </si>
  <si>
    <t>Kg</t>
  </si>
  <si>
    <t>Sembradora</t>
  </si>
  <si>
    <t>Fecha resiembra</t>
  </si>
  <si>
    <t>ha</t>
  </si>
  <si>
    <t>Lampo</t>
  </si>
  <si>
    <t>Pl/m</t>
  </si>
  <si>
    <t>Puntaje</t>
  </si>
  <si>
    <t>Urea az</t>
  </si>
  <si>
    <t>Azufertil</t>
  </si>
  <si>
    <t>Origen</t>
  </si>
  <si>
    <t>Análisis (ppm)</t>
  </si>
  <si>
    <t>kg prescripcion</t>
  </si>
  <si>
    <t>kg prom</t>
  </si>
  <si>
    <t>Kg Prescripcion</t>
  </si>
  <si>
    <t>Kg prom</t>
  </si>
  <si>
    <t>Total</t>
  </si>
  <si>
    <t>Dosis</t>
  </si>
  <si>
    <t>Zona</t>
  </si>
  <si>
    <t>Lontrel</t>
  </si>
  <si>
    <t>Tordon</t>
  </si>
  <si>
    <t>Arsenal</t>
  </si>
  <si>
    <t>Axial</t>
  </si>
  <si>
    <t>Hussar</t>
  </si>
  <si>
    <t>Paradigm</t>
  </si>
  <si>
    <t>Vitagrow</t>
  </si>
  <si>
    <t>Tronador</t>
  </si>
  <si>
    <t>Producto</t>
  </si>
  <si>
    <t>Espigas m2</t>
  </si>
  <si>
    <t>Granos</t>
  </si>
  <si>
    <t>p1000</t>
  </si>
  <si>
    <t>Rinde</t>
  </si>
  <si>
    <t>Malacara</t>
  </si>
  <si>
    <t>Sj1</t>
  </si>
  <si>
    <t>Cz</t>
  </si>
  <si>
    <t>Agrofertil</t>
  </si>
  <si>
    <t>Cargill</t>
  </si>
  <si>
    <t>Belassi</t>
  </si>
  <si>
    <t>Nuola300</t>
  </si>
  <si>
    <t>Galpon Hub</t>
  </si>
  <si>
    <t>Tianil</t>
  </si>
  <si>
    <t>Plantadora</t>
  </si>
  <si>
    <t>Sj2</t>
  </si>
  <si>
    <t>Cobertura</t>
  </si>
  <si>
    <t>Avena</t>
  </si>
  <si>
    <t>Durazno</t>
  </si>
  <si>
    <t>Ernst</t>
  </si>
  <si>
    <t>Altina</t>
  </si>
  <si>
    <t>Montecristo</t>
  </si>
  <si>
    <t>Tr</t>
  </si>
  <si>
    <t>Catalpa</t>
  </si>
  <si>
    <t>Araña</t>
  </si>
  <si>
    <t>2,5 (10ha)</t>
  </si>
  <si>
    <t>Aromo</t>
  </si>
  <si>
    <t>Bichadero</t>
  </si>
  <si>
    <t xml:space="preserve">Catalpa. Aromo (melgas contra 15) </t>
  </si>
  <si>
    <t>Galpon Hub y Bichadero</t>
  </si>
  <si>
    <t>La Campana</t>
  </si>
  <si>
    <t>Dante</t>
  </si>
  <si>
    <t>P. Planting</t>
  </si>
  <si>
    <t>Nuola300 y cabecera Hyola</t>
  </si>
  <si>
    <t>Hyola575</t>
  </si>
  <si>
    <t>San Luis</t>
  </si>
  <si>
    <t>Mz1</t>
  </si>
  <si>
    <t>EasyAgro</t>
  </si>
  <si>
    <t>Cofco</t>
  </si>
  <si>
    <t>La Blanqueada</t>
  </si>
  <si>
    <t>Mz2</t>
  </si>
  <si>
    <t>Estanzuela 284</t>
  </si>
  <si>
    <t>Granicor</t>
  </si>
  <si>
    <t>Martin Rubiolo</t>
  </si>
  <si>
    <t>Drone</t>
  </si>
  <si>
    <t>31/3</t>
  </si>
  <si>
    <t>Curry</t>
  </si>
  <si>
    <t>45Y95 (puente) y Floriana</t>
  </si>
  <si>
    <t>F. Ibarra</t>
  </si>
  <si>
    <t>45Y95 (Bajo derecha camino) y Floriana</t>
  </si>
  <si>
    <t>F. Ibarra y Tianil</t>
  </si>
  <si>
    <t>P. Planting y Plantadora</t>
  </si>
  <si>
    <t>curry/Hyola575 (lado chico camino)</t>
  </si>
  <si>
    <t>Nuola300 (lado grande del camino) y Floriana</t>
  </si>
  <si>
    <t>A. Gutierrez</t>
  </si>
  <si>
    <t>Dron</t>
  </si>
  <si>
    <t>Santa Rafaela</t>
  </si>
  <si>
    <t>Bellaco</t>
  </si>
  <si>
    <t>Ceb</t>
  </si>
  <si>
    <t>Osiris</t>
  </si>
  <si>
    <t>Chaniar norte</t>
  </si>
  <si>
    <t>Chaniar sur</t>
  </si>
  <si>
    <t>Copagran</t>
  </si>
  <si>
    <t>Frilor</t>
  </si>
  <si>
    <t>Los Juanes</t>
  </si>
  <si>
    <t>Manguera E</t>
  </si>
  <si>
    <t>Manguera w</t>
  </si>
  <si>
    <t>Olimpia</t>
  </si>
  <si>
    <t>Nianiez</t>
  </si>
  <si>
    <t>Trillo</t>
  </si>
  <si>
    <t>Entrada</t>
  </si>
  <si>
    <t>Puesto</t>
  </si>
  <si>
    <t xml:space="preserve">Cultivo Invierno </t>
  </si>
  <si>
    <t>Cult Verano</t>
  </si>
  <si>
    <t>dic</t>
  </si>
  <si>
    <t>ene</t>
  </si>
  <si>
    <t>feb</t>
  </si>
  <si>
    <t>mar</t>
  </si>
  <si>
    <t>abr</t>
  </si>
  <si>
    <t>may</t>
  </si>
  <si>
    <t>jun</t>
  </si>
  <si>
    <t>jul</t>
  </si>
  <si>
    <t>ago</t>
  </si>
  <si>
    <t>set</t>
  </si>
  <si>
    <t>oct</t>
  </si>
  <si>
    <t>nov</t>
  </si>
  <si>
    <t>Sta Rafaela</t>
  </si>
  <si>
    <t>Campana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</si>
</sst>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"/>
    <numFmt numFmtId="165" formatCode="#,##0.00_ ;\-#,##0.00\ "/>
  </numFmts>
  <fonts count="11">
    <font>
      <sz val="11"/>
      <color theme="1"/>
      <name val="Calibri"/>
      <family val="2"/>
      <scheme val="minor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sz val="16"/>
      <name val="Arial"/>
      <family val="2"/>
    </font>
    <font>
      <sz val="16"/>
      <name val="Calibri"/>
      <family val="2"/>
    </font>
    <font>
      <sz val="11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theme="9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0" fontId="3" fillId="10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6" fillId="12" borderId="2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16" fontId="0" fillId="8" borderId="0" xfId="0" applyNumberFormat="1" applyFill="1" applyAlignment="1">
      <alignment horizontal="center"/>
    </xf>
    <xf numFmtId="0" fontId="5" fillId="16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20" borderId="0" xfId="0" applyFont="1" applyFill="1" applyAlignment="1">
      <alignment horizontal="center"/>
    </xf>
    <xf numFmtId="0" fontId="8" fillId="20" borderId="1" xfId="0" applyFont="1" applyFill="1" applyBorder="1" applyAlignment="1">
      <alignment horizontal="center"/>
    </xf>
    <xf numFmtId="0" fontId="8" fillId="20" borderId="2" xfId="0" applyFont="1" applyFill="1" applyBorder="1" applyAlignment="1">
      <alignment horizontal="center"/>
    </xf>
    <xf numFmtId="0" fontId="0" fillId="20" borderId="0" xfId="0" applyFill="1" applyAlignment="1">
      <alignment horizontal="center"/>
    </xf>
    <xf numFmtId="0" fontId="3" fillId="21" borderId="0" xfId="0" applyFont="1" applyFill="1" applyAlignment="1">
      <alignment horizontal="center" vertical="center"/>
    </xf>
    <xf numFmtId="1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0" fillId="8" borderId="0" xfId="0" applyNumberFormat="1" applyFill="1" applyAlignment="1">
      <alignment horizontal="center"/>
    </xf>
    <xf numFmtId="0" fontId="10" fillId="8" borderId="0" xfId="0" applyFont="1" applyFill="1" applyAlignment="1">
      <alignment horizontal="center"/>
    </xf>
    <xf numFmtId="0" fontId="3" fillId="18" borderId="7" xfId="0" applyFont="1" applyFill="1" applyBorder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14" borderId="5" xfId="0" applyFont="1" applyFill="1" applyBorder="1" applyAlignment="1">
      <alignment horizontal="center" vertical="center"/>
    </xf>
    <xf numFmtId="0" fontId="7" fillId="15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7" fillId="17" borderId="0" xfId="0" applyFont="1" applyFill="1" applyAlignment="1">
      <alignment horizontal="center" vertical="center"/>
    </xf>
    <xf numFmtId="0" fontId="7" fillId="17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6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6" fillId="12" borderId="4" xfId="0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7" fillId="14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3" fillId="21" borderId="2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4" fillId="2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O104"/>
  <sheetViews>
    <sheetView tabSelected="1" topLeftCell="B24" workbookViewId="0">
      <selection activeCell="Y28" sqref="Y28"/>
    </sheetView>
  </sheetViews>
  <sheetFormatPr defaultRowHeight="15"/>
  <cols>
    <col min="1" max="1" width="19.28515625" style="17" bestFit="1" customWidth="1"/>
    <col min="2" max="2" width="16.85546875" style="17" bestFit="1" customWidth="1"/>
    <col min="3" max="3" width="10.85546875" style="17" bestFit="1" customWidth="1"/>
    <col min="4" max="4" width="18.140625" style="17" hidden="1" customWidth="1"/>
    <col min="5" max="5" width="18.28515625" style="17" bestFit="1" customWidth="1"/>
    <col min="6" max="6" width="9.7109375" style="17" hidden="1" customWidth="1"/>
    <col min="7" max="7" width="16.5703125" style="17" hidden="1" customWidth="1"/>
    <col min="8" max="14" width="9.140625" style="17" hidden="1" customWidth="1"/>
    <col min="15" max="16" width="9.140625" style="17" bestFit="1" customWidth="1"/>
    <col min="17" max="17" width="11.7109375" style="17" bestFit="1" customWidth="1"/>
    <col min="18" max="18" width="11.7109375" style="17" customWidth="1"/>
    <col min="19" max="20" width="15.5703125" style="17" bestFit="1" customWidth="1"/>
    <col min="21" max="21" width="15.5703125" style="17" customWidth="1"/>
    <col min="22" max="22" width="16.85546875" style="17" bestFit="1" customWidth="1"/>
    <col min="23" max="23" width="16.42578125" style="17" bestFit="1" customWidth="1"/>
    <col min="24" max="24" width="16.42578125" style="17" customWidth="1"/>
    <col min="25" max="33" width="9.140625" style="17" bestFit="1" customWidth="1"/>
    <col min="34" max="34" width="11.42578125" style="17" bestFit="1" customWidth="1"/>
    <col min="35" max="38" width="9.140625" style="17" bestFit="1" customWidth="1"/>
    <col min="39" max="39" width="10.85546875" style="17" bestFit="1" customWidth="1"/>
    <col min="40" max="40" width="14.85546875" style="17" bestFit="1" customWidth="1"/>
    <col min="41" max="41" width="20.5703125" style="17" bestFit="1" customWidth="1"/>
    <col min="42" max="42" width="20.5703125" style="17" customWidth="1"/>
    <col min="43" max="43" width="16" style="17" customWidth="1"/>
    <col min="44" max="44" width="16" style="17" bestFit="1" customWidth="1"/>
    <col min="45" max="45" width="18" style="17" bestFit="1" customWidth="1"/>
    <col min="46" max="46" width="13.42578125" style="17" bestFit="1" customWidth="1"/>
    <col min="47" max="47" width="20.5703125" style="17" bestFit="1" customWidth="1"/>
    <col min="48" max="48" width="20.5703125" style="17" customWidth="1"/>
    <col min="49" max="49" width="24.140625" style="17" bestFit="1" customWidth="1"/>
    <col min="50" max="50" width="9.140625" style="17"/>
    <col min="51" max="51" width="16" style="17" bestFit="1" customWidth="1"/>
    <col min="52" max="52" width="18" style="17" bestFit="1" customWidth="1"/>
    <col min="53" max="53" width="13.42578125" style="17" bestFit="1" customWidth="1"/>
    <col min="54" max="54" width="20.5703125" style="17" bestFit="1" customWidth="1"/>
    <col min="55" max="55" width="24.140625" style="17" bestFit="1" customWidth="1"/>
    <col min="56" max="56" width="9.140625" style="17"/>
    <col min="57" max="57" width="16" style="17" bestFit="1" customWidth="1"/>
    <col min="58" max="58" width="18" style="17" bestFit="1" customWidth="1"/>
    <col min="59" max="61" width="18" style="17" customWidth="1"/>
    <col min="62" max="62" width="9.140625" style="17"/>
    <col min="63" max="63" width="11" style="17" bestFit="1" customWidth="1"/>
    <col min="64" max="64" width="12" style="17" bestFit="1" customWidth="1"/>
    <col min="65" max="65" width="12.28515625" style="17" bestFit="1" customWidth="1"/>
    <col min="66" max="66" width="10.42578125" style="17" bestFit="1" customWidth="1"/>
    <col min="67" max="67" width="9.7109375" style="17" bestFit="1" customWidth="1"/>
    <col min="68" max="68" width="16" style="17" bestFit="1" customWidth="1"/>
    <col min="69" max="69" width="9.140625" style="17" bestFit="1" customWidth="1"/>
    <col min="70" max="71" width="9.140625" style="17"/>
    <col min="72" max="72" width="9.140625" style="17" bestFit="1" customWidth="1"/>
    <col min="73" max="73" width="9.140625" style="17"/>
    <col min="74" max="74" width="9.140625" style="17" bestFit="1" customWidth="1"/>
    <col min="75" max="75" width="9.140625" style="17"/>
    <col min="76" max="80" width="9.140625" style="17" bestFit="1" customWidth="1"/>
    <col min="81" max="81" width="9.140625" style="17"/>
    <col min="82" max="86" width="9.140625" style="17" bestFit="1" customWidth="1"/>
    <col min="87" max="87" width="9.140625" style="17"/>
    <col min="88" max="119" width="9.140625" style="17" bestFit="1" customWidth="1"/>
    <col min="120" max="16384" width="9.140625" style="17"/>
  </cols>
  <sheetData>
    <row r="1" spans="1:119" ht="21">
      <c r="A1" s="1"/>
      <c r="B1" s="2"/>
      <c r="C1" s="3"/>
      <c r="D1" s="4"/>
      <c r="F1" s="70" t="s">
        <v>0</v>
      </c>
      <c r="G1" s="70"/>
      <c r="H1" s="70"/>
      <c r="I1" s="70"/>
      <c r="J1" s="70"/>
      <c r="K1" s="70"/>
      <c r="L1" s="70"/>
      <c r="M1" s="70"/>
      <c r="N1" s="70"/>
      <c r="O1" s="71" t="s">
        <v>1</v>
      </c>
      <c r="P1" s="72"/>
      <c r="Q1" s="72"/>
      <c r="R1" s="72"/>
      <c r="S1" s="72"/>
      <c r="T1" s="72"/>
      <c r="U1" s="72"/>
      <c r="V1" s="72"/>
      <c r="W1" s="72"/>
      <c r="X1" s="72"/>
      <c r="Y1" s="72"/>
      <c r="Z1" s="73" t="s">
        <v>2</v>
      </c>
      <c r="AA1" s="73"/>
      <c r="AB1" s="73"/>
      <c r="AC1" s="73"/>
      <c r="AD1" s="73"/>
      <c r="AE1" s="73"/>
      <c r="AF1" s="73"/>
      <c r="AG1" s="73"/>
      <c r="AH1" s="73"/>
      <c r="AI1" s="73"/>
      <c r="AJ1" s="79" t="s">
        <v>3</v>
      </c>
      <c r="AK1" s="79"/>
      <c r="AL1" s="79"/>
      <c r="AM1" s="79"/>
      <c r="AN1" s="74" t="s">
        <v>4</v>
      </c>
      <c r="AO1" s="74"/>
      <c r="AP1" s="74"/>
      <c r="AQ1" s="74"/>
      <c r="AR1" s="74"/>
      <c r="AS1" s="75"/>
      <c r="AT1" s="76" t="s">
        <v>5</v>
      </c>
      <c r="AU1" s="77"/>
      <c r="AV1" s="77"/>
      <c r="AW1" s="77"/>
      <c r="AX1" s="77"/>
      <c r="AY1" s="77"/>
      <c r="AZ1" s="78"/>
      <c r="BA1" s="59" t="s">
        <v>6</v>
      </c>
      <c r="BB1" s="60"/>
      <c r="BC1" s="60"/>
      <c r="BD1" s="60"/>
      <c r="BE1" s="60"/>
      <c r="BF1" s="61"/>
      <c r="BG1" s="67" t="s">
        <v>7</v>
      </c>
      <c r="BH1" s="68"/>
      <c r="BI1" s="69"/>
      <c r="BJ1" s="62" t="s">
        <v>8</v>
      </c>
      <c r="BK1" s="63"/>
      <c r="BL1" s="64" t="s">
        <v>9</v>
      </c>
      <c r="BM1" s="64"/>
      <c r="BN1" s="64"/>
      <c r="BO1" s="64"/>
      <c r="BP1" s="64"/>
      <c r="BQ1" s="65" t="s">
        <v>10</v>
      </c>
      <c r="BR1" s="52"/>
      <c r="BS1" s="52"/>
      <c r="BT1" s="52"/>
      <c r="BU1" s="52"/>
      <c r="BV1" s="66"/>
      <c r="BW1" s="52" t="s">
        <v>11</v>
      </c>
      <c r="BX1" s="52"/>
      <c r="BY1" s="52"/>
      <c r="BZ1" s="52"/>
      <c r="CA1" s="52"/>
      <c r="CB1" s="52"/>
      <c r="CC1" s="52" t="s">
        <v>12</v>
      </c>
      <c r="CD1" s="52"/>
      <c r="CE1" s="52"/>
      <c r="CF1" s="52"/>
      <c r="CG1" s="52"/>
      <c r="CH1" s="52"/>
      <c r="CI1" s="23"/>
      <c r="CJ1" s="53" t="s">
        <v>13</v>
      </c>
      <c r="CK1" s="53"/>
      <c r="CL1" s="53"/>
      <c r="CM1" s="54" t="s">
        <v>14</v>
      </c>
      <c r="CN1" s="54"/>
      <c r="CO1" s="54"/>
      <c r="CP1" s="54"/>
      <c r="CQ1" s="54"/>
      <c r="CR1" s="55" t="s">
        <v>15</v>
      </c>
      <c r="CS1" s="55"/>
      <c r="CT1" s="55"/>
      <c r="CU1" s="55"/>
      <c r="CV1" s="55"/>
      <c r="CW1" s="55"/>
      <c r="CX1" s="55"/>
      <c r="CY1" s="55"/>
      <c r="CZ1" s="55"/>
      <c r="DA1" s="55"/>
      <c r="DB1" s="56"/>
      <c r="DC1" s="57" t="s">
        <v>16</v>
      </c>
      <c r="DD1" s="50"/>
      <c r="DE1" s="58"/>
      <c r="DF1" s="49" t="s">
        <v>17</v>
      </c>
      <c r="DG1" s="50"/>
      <c r="DH1" s="50"/>
      <c r="DI1" s="50" t="s">
        <v>18</v>
      </c>
      <c r="DJ1" s="50"/>
      <c r="DK1" s="50"/>
      <c r="DL1" s="51" t="s">
        <v>19</v>
      </c>
      <c r="DM1" s="51"/>
      <c r="DN1" s="51"/>
      <c r="DO1" s="51"/>
    </row>
    <row r="2" spans="1:119" ht="21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11" t="s">
        <v>25</v>
      </c>
      <c r="G2" s="10" t="s">
        <v>26</v>
      </c>
      <c r="H2" s="10" t="s">
        <v>27</v>
      </c>
      <c r="I2" s="10" t="s">
        <v>28</v>
      </c>
      <c r="J2" s="10" t="s">
        <v>29</v>
      </c>
      <c r="K2" s="10" t="s">
        <v>30</v>
      </c>
      <c r="L2" s="10" t="s">
        <v>31</v>
      </c>
      <c r="M2" s="10" t="s">
        <v>32</v>
      </c>
      <c r="N2" s="10" t="s">
        <v>33</v>
      </c>
      <c r="O2" s="12" t="s">
        <v>34</v>
      </c>
      <c r="P2" s="13" t="s">
        <v>35</v>
      </c>
      <c r="Q2" s="13" t="s">
        <v>36</v>
      </c>
      <c r="R2" s="13" t="s">
        <v>37</v>
      </c>
      <c r="S2" s="13" t="s">
        <v>38</v>
      </c>
      <c r="T2" s="13" t="s">
        <v>39</v>
      </c>
      <c r="U2" s="13" t="s">
        <v>40</v>
      </c>
      <c r="V2" s="13" t="s">
        <v>41</v>
      </c>
      <c r="W2" s="13" t="s">
        <v>42</v>
      </c>
      <c r="X2" s="13" t="s">
        <v>43</v>
      </c>
      <c r="Y2" s="14" t="s">
        <v>44</v>
      </c>
      <c r="Z2" s="15" t="s">
        <v>45</v>
      </c>
      <c r="AA2" s="15" t="s">
        <v>46</v>
      </c>
      <c r="AB2" s="15" t="s">
        <v>47</v>
      </c>
      <c r="AC2" s="15" t="s">
        <v>48</v>
      </c>
      <c r="AD2" s="15" t="s">
        <v>49</v>
      </c>
      <c r="AE2" s="15" t="s">
        <v>50</v>
      </c>
      <c r="AF2" s="15" t="s">
        <v>51</v>
      </c>
      <c r="AG2" s="15" t="s">
        <v>52</v>
      </c>
      <c r="AH2" s="15" t="s">
        <v>25</v>
      </c>
      <c r="AI2" s="15" t="s">
        <v>44</v>
      </c>
      <c r="AJ2" s="36" t="s">
        <v>45</v>
      </c>
      <c r="AK2" s="36" t="s">
        <v>52</v>
      </c>
      <c r="AL2" s="36" t="s">
        <v>25</v>
      </c>
      <c r="AM2" s="36" t="s">
        <v>44</v>
      </c>
      <c r="AN2" s="16" t="s">
        <v>53</v>
      </c>
      <c r="AO2" s="16" t="s">
        <v>54</v>
      </c>
      <c r="AP2" s="16" t="s">
        <v>55</v>
      </c>
      <c r="AQ2" s="16" t="s">
        <v>25</v>
      </c>
      <c r="AR2" s="16" t="s">
        <v>44</v>
      </c>
      <c r="AS2" s="16" t="s">
        <v>56</v>
      </c>
      <c r="AT2" s="20" t="s">
        <v>53</v>
      </c>
      <c r="AU2" s="20" t="s">
        <v>54</v>
      </c>
      <c r="AV2" s="20" t="s">
        <v>55</v>
      </c>
      <c r="AW2" s="20" t="s">
        <v>57</v>
      </c>
      <c r="AX2" s="20" t="s">
        <v>58</v>
      </c>
      <c r="AY2" s="20" t="s">
        <v>44</v>
      </c>
      <c r="AZ2" s="20" t="s">
        <v>56</v>
      </c>
      <c r="BA2" s="21" t="s">
        <v>53</v>
      </c>
      <c r="BB2" s="21" t="s">
        <v>54</v>
      </c>
      <c r="BC2" s="21" t="s">
        <v>57</v>
      </c>
      <c r="BD2" s="21" t="s">
        <v>58</v>
      </c>
      <c r="BE2" s="21" t="s">
        <v>44</v>
      </c>
      <c r="BF2" s="21" t="s">
        <v>56</v>
      </c>
      <c r="BG2" s="44" t="s">
        <v>59</v>
      </c>
      <c r="BH2" s="44" t="s">
        <v>25</v>
      </c>
      <c r="BI2" s="44" t="s">
        <v>44</v>
      </c>
      <c r="BJ2" s="27" t="s">
        <v>60</v>
      </c>
      <c r="BK2" s="27" t="s">
        <v>61</v>
      </c>
      <c r="BL2" s="22" t="s">
        <v>62</v>
      </c>
      <c r="BM2" s="22" t="s">
        <v>63</v>
      </c>
      <c r="BN2" s="22" t="s">
        <v>64</v>
      </c>
      <c r="BO2" s="22" t="s">
        <v>25</v>
      </c>
      <c r="BP2" s="22" t="s">
        <v>44</v>
      </c>
      <c r="BQ2" s="28" t="s">
        <v>65</v>
      </c>
      <c r="BR2" s="29" t="s">
        <v>25</v>
      </c>
      <c r="BS2" s="29" t="s">
        <v>55</v>
      </c>
      <c r="BT2" s="29" t="s">
        <v>64</v>
      </c>
      <c r="BU2" s="29" t="s">
        <v>25</v>
      </c>
      <c r="BV2" s="29" t="s">
        <v>44</v>
      </c>
      <c r="BW2" s="29" t="s">
        <v>25</v>
      </c>
      <c r="BX2" s="29" t="s">
        <v>66</v>
      </c>
      <c r="BY2" s="29" t="s">
        <v>67</v>
      </c>
      <c r="BZ2" s="29" t="s">
        <v>64</v>
      </c>
      <c r="CA2" s="29" t="s">
        <v>25</v>
      </c>
      <c r="CB2" s="29" t="s">
        <v>44</v>
      </c>
      <c r="CC2" s="29" t="s">
        <v>25</v>
      </c>
      <c r="CD2" s="29" t="s">
        <v>68</v>
      </c>
      <c r="CE2" s="29" t="s">
        <v>69</v>
      </c>
      <c r="CF2" s="29" t="s">
        <v>64</v>
      </c>
      <c r="CG2" s="29" t="s">
        <v>25</v>
      </c>
      <c r="CH2" s="29" t="s">
        <v>44</v>
      </c>
      <c r="CI2" s="30" t="s">
        <v>70</v>
      </c>
      <c r="CJ2" s="31" t="s">
        <v>25</v>
      </c>
      <c r="CK2" s="31" t="s">
        <v>71</v>
      </c>
      <c r="CL2" s="31" t="s">
        <v>44</v>
      </c>
      <c r="CM2" s="32" t="s">
        <v>25</v>
      </c>
      <c r="CN2" s="32" t="s">
        <v>71</v>
      </c>
      <c r="CO2" s="32" t="s">
        <v>58</v>
      </c>
      <c r="CP2" s="32" t="s">
        <v>72</v>
      </c>
      <c r="CQ2" s="32" t="s">
        <v>44</v>
      </c>
      <c r="CR2" s="33" t="s">
        <v>25</v>
      </c>
      <c r="CS2" s="33" t="s">
        <v>46</v>
      </c>
      <c r="CT2" s="33" t="s">
        <v>73</v>
      </c>
      <c r="CU2" s="33" t="s">
        <v>74</v>
      </c>
      <c r="CV2" s="33" t="s">
        <v>75</v>
      </c>
      <c r="CW2" s="33" t="s">
        <v>76</v>
      </c>
      <c r="CX2" s="33" t="s">
        <v>77</v>
      </c>
      <c r="CY2" s="33" t="s">
        <v>78</v>
      </c>
      <c r="CZ2" s="33" t="s">
        <v>79</v>
      </c>
      <c r="DA2" s="33" t="s">
        <v>80</v>
      </c>
      <c r="DB2" s="33" t="s">
        <v>44</v>
      </c>
      <c r="DC2" s="24" t="s">
        <v>81</v>
      </c>
      <c r="DD2" s="24" t="s">
        <v>71</v>
      </c>
      <c r="DE2" s="24" t="s">
        <v>25</v>
      </c>
      <c r="DF2" s="25" t="s">
        <v>81</v>
      </c>
      <c r="DG2" s="24" t="s">
        <v>71</v>
      </c>
      <c r="DH2" s="24" t="s">
        <v>25</v>
      </c>
      <c r="DI2" s="25" t="s">
        <v>81</v>
      </c>
      <c r="DJ2" s="24" t="s">
        <v>71</v>
      </c>
      <c r="DK2" s="24" t="s">
        <v>25</v>
      </c>
      <c r="DL2" s="26" t="s">
        <v>82</v>
      </c>
      <c r="DM2" s="26" t="s">
        <v>83</v>
      </c>
      <c r="DN2" s="26" t="s">
        <v>84</v>
      </c>
      <c r="DO2" s="26" t="s">
        <v>85</v>
      </c>
    </row>
    <row r="3" spans="1:119" ht="21">
      <c r="A3" s="6" t="s">
        <v>86</v>
      </c>
      <c r="B3" s="6">
        <v>1</v>
      </c>
      <c r="C3" s="6">
        <v>203.49</v>
      </c>
      <c r="D3" s="8" t="s">
        <v>87</v>
      </c>
      <c r="E3" s="7" t="s">
        <v>88</v>
      </c>
      <c r="F3" s="45">
        <v>46157</v>
      </c>
      <c r="G3" s="46" t="s">
        <v>89</v>
      </c>
      <c r="H3" s="46">
        <v>5</v>
      </c>
      <c r="I3" s="46">
        <v>8</v>
      </c>
      <c r="J3" s="46">
        <v>0.37</v>
      </c>
      <c r="K3" s="46">
        <v>19</v>
      </c>
      <c r="L3" s="46">
        <v>0.26</v>
      </c>
      <c r="M3" s="46">
        <v>5.6</v>
      </c>
      <c r="N3" s="46">
        <v>3.5</v>
      </c>
      <c r="O3" s="17">
        <v>90</v>
      </c>
      <c r="P3" s="17">
        <v>100</v>
      </c>
      <c r="S3" s="17" t="s">
        <v>90</v>
      </c>
      <c r="T3" s="17" t="s">
        <v>90</v>
      </c>
      <c r="Y3" s="17" t="s">
        <v>91</v>
      </c>
      <c r="Z3" s="34">
        <v>3</v>
      </c>
      <c r="AA3" s="34">
        <v>1</v>
      </c>
      <c r="AB3" s="34">
        <v>0.45</v>
      </c>
      <c r="AC3" s="34"/>
      <c r="AD3" s="34"/>
      <c r="AE3" s="34"/>
      <c r="AF3" s="34"/>
      <c r="AG3" s="34"/>
      <c r="AH3" s="47">
        <v>46158</v>
      </c>
      <c r="AI3" s="34" t="s">
        <v>91</v>
      </c>
      <c r="AN3" s="34" t="s">
        <v>92</v>
      </c>
      <c r="AO3" s="34" t="s">
        <v>93</v>
      </c>
      <c r="AP3" s="34">
        <v>3.6</v>
      </c>
      <c r="AQ3" s="35">
        <v>46167</v>
      </c>
      <c r="AR3" s="34" t="s">
        <v>94</v>
      </c>
      <c r="AS3" s="34" t="s">
        <v>95</v>
      </c>
      <c r="BL3" s="17">
        <v>98</v>
      </c>
      <c r="BN3" s="17" t="s">
        <v>90</v>
      </c>
      <c r="BP3" s="17" t="s">
        <v>91</v>
      </c>
      <c r="CI3" s="17">
        <f>+CE3+BY3+BS3+BL3</f>
        <v>98</v>
      </c>
    </row>
    <row r="4" spans="1:119" ht="21">
      <c r="A4" s="6" t="s">
        <v>86</v>
      </c>
      <c r="B4" s="6">
        <v>2</v>
      </c>
      <c r="C4" s="6">
        <v>215</v>
      </c>
      <c r="D4" s="8" t="s">
        <v>96</v>
      </c>
      <c r="E4" s="7" t="s">
        <v>97</v>
      </c>
      <c r="AH4" s="18"/>
      <c r="AN4" s="34" t="s">
        <v>98</v>
      </c>
      <c r="AO4" s="34" t="s">
        <v>99</v>
      </c>
      <c r="AP4" s="34">
        <v>40</v>
      </c>
      <c r="AQ4" s="35">
        <v>46137</v>
      </c>
      <c r="AR4" s="34" t="s">
        <v>100</v>
      </c>
      <c r="AS4" s="34" t="s">
        <v>101</v>
      </c>
      <c r="CI4" s="17">
        <f t="shared" ref="CI4:CI53" si="0">+CE4+BY4+BS4+BL4</f>
        <v>0</v>
      </c>
    </row>
    <row r="5" spans="1:119" ht="21">
      <c r="A5" s="6" t="s">
        <v>86</v>
      </c>
      <c r="B5" s="6">
        <v>3</v>
      </c>
      <c r="C5" s="6">
        <v>46.12</v>
      </c>
      <c r="D5" s="8" t="s">
        <v>96</v>
      </c>
      <c r="E5" s="7" t="s">
        <v>97</v>
      </c>
      <c r="AH5" s="18"/>
      <c r="AN5" s="34" t="s">
        <v>98</v>
      </c>
      <c r="AO5" s="34" t="s">
        <v>99</v>
      </c>
      <c r="AP5" s="34">
        <v>40</v>
      </c>
      <c r="AQ5" s="35">
        <v>46137</v>
      </c>
      <c r="AR5" s="34" t="s">
        <v>100</v>
      </c>
      <c r="AS5" s="34" t="s">
        <v>101</v>
      </c>
      <c r="CI5" s="17">
        <f t="shared" si="0"/>
        <v>0</v>
      </c>
    </row>
    <row r="6" spans="1:119" ht="21">
      <c r="A6" s="6" t="s">
        <v>86</v>
      </c>
      <c r="B6" s="6">
        <v>7</v>
      </c>
      <c r="C6" s="6">
        <v>24.03</v>
      </c>
      <c r="D6" s="8" t="s">
        <v>96</v>
      </c>
      <c r="E6" s="7" t="s">
        <v>97</v>
      </c>
      <c r="AH6" s="18"/>
      <c r="AN6" s="34" t="s">
        <v>98</v>
      </c>
      <c r="AO6" s="34" t="s">
        <v>99</v>
      </c>
      <c r="AP6" s="34">
        <v>40</v>
      </c>
      <c r="AQ6" s="35">
        <v>46137</v>
      </c>
      <c r="AR6" s="34" t="s">
        <v>100</v>
      </c>
      <c r="AS6" s="34" t="s">
        <v>101</v>
      </c>
      <c r="CI6" s="17">
        <f t="shared" si="0"/>
        <v>0</v>
      </c>
    </row>
    <row r="7" spans="1:119" ht="21">
      <c r="A7" s="6" t="s">
        <v>86</v>
      </c>
      <c r="B7" s="6">
        <v>8</v>
      </c>
      <c r="C7" s="6">
        <v>22.55</v>
      </c>
      <c r="D7" s="8" t="s">
        <v>96</v>
      </c>
      <c r="E7" s="7" t="s">
        <v>97</v>
      </c>
      <c r="AH7" s="18"/>
      <c r="AN7" s="34" t="s">
        <v>98</v>
      </c>
      <c r="AO7" s="34" t="s">
        <v>99</v>
      </c>
      <c r="AP7" s="34">
        <v>40</v>
      </c>
      <c r="AQ7" s="35">
        <v>46137</v>
      </c>
      <c r="AR7" s="34" t="s">
        <v>100</v>
      </c>
      <c r="AS7" s="34" t="s">
        <v>101</v>
      </c>
      <c r="CI7" s="17">
        <f t="shared" si="0"/>
        <v>0</v>
      </c>
    </row>
    <row r="8" spans="1:119" ht="21">
      <c r="A8" s="6" t="s">
        <v>86</v>
      </c>
      <c r="B8" s="6">
        <v>9</v>
      </c>
      <c r="C8" s="6">
        <v>62.73</v>
      </c>
      <c r="D8" s="8" t="s">
        <v>96</v>
      </c>
      <c r="E8" s="7" t="s">
        <v>97</v>
      </c>
      <c r="AH8" s="18"/>
      <c r="AN8" s="34" t="s">
        <v>98</v>
      </c>
      <c r="AO8" s="34" t="s">
        <v>99</v>
      </c>
      <c r="AP8" s="34">
        <v>40</v>
      </c>
      <c r="AQ8" s="35">
        <v>46137</v>
      </c>
      <c r="AR8" s="34" t="s">
        <v>100</v>
      </c>
      <c r="AS8" s="34" t="s">
        <v>101</v>
      </c>
      <c r="CI8" s="17">
        <f t="shared" si="0"/>
        <v>0</v>
      </c>
    </row>
    <row r="9" spans="1:119" ht="21">
      <c r="A9" s="6" t="s">
        <v>86</v>
      </c>
      <c r="B9" s="6">
        <v>10</v>
      </c>
      <c r="C9" s="6">
        <v>29.7</v>
      </c>
      <c r="D9" s="8" t="s">
        <v>96</v>
      </c>
      <c r="E9" s="7" t="s">
        <v>97</v>
      </c>
      <c r="AH9" s="18"/>
      <c r="AN9" s="34" t="s">
        <v>98</v>
      </c>
      <c r="AO9" s="34" t="s">
        <v>99</v>
      </c>
      <c r="AP9" s="34">
        <v>40</v>
      </c>
      <c r="AQ9" s="35">
        <v>46137</v>
      </c>
      <c r="AR9" s="34" t="s">
        <v>100</v>
      </c>
      <c r="AS9" s="34" t="s">
        <v>101</v>
      </c>
      <c r="CI9" s="17">
        <f t="shared" si="0"/>
        <v>0</v>
      </c>
    </row>
    <row r="10" spans="1:119" ht="21">
      <c r="A10" s="6" t="s">
        <v>86</v>
      </c>
      <c r="B10" s="6">
        <v>11</v>
      </c>
      <c r="C10" s="6">
        <v>270.44</v>
      </c>
      <c r="D10" s="8" t="s">
        <v>96</v>
      </c>
      <c r="E10" s="7" t="s">
        <v>97</v>
      </c>
      <c r="AH10" s="18"/>
      <c r="AN10" s="34" t="s">
        <v>98</v>
      </c>
      <c r="AO10" s="34" t="s">
        <v>99</v>
      </c>
      <c r="AP10" s="34">
        <v>40</v>
      </c>
      <c r="AQ10" s="35">
        <v>46137</v>
      </c>
      <c r="AR10" s="34" t="s">
        <v>100</v>
      </c>
      <c r="AS10" s="34" t="s">
        <v>101</v>
      </c>
      <c r="CI10" s="17">
        <f t="shared" si="0"/>
        <v>0</v>
      </c>
    </row>
    <row r="11" spans="1:119" ht="21">
      <c r="A11" s="6" t="s">
        <v>86</v>
      </c>
      <c r="B11" s="6">
        <v>12</v>
      </c>
      <c r="C11" s="6">
        <v>64.25</v>
      </c>
      <c r="D11" s="8" t="s">
        <v>96</v>
      </c>
      <c r="E11" s="7" t="s">
        <v>97</v>
      </c>
      <c r="AH11" s="18"/>
      <c r="AN11" s="34" t="s">
        <v>98</v>
      </c>
      <c r="AO11" s="34" t="s">
        <v>99</v>
      </c>
      <c r="AP11" s="34">
        <v>40</v>
      </c>
      <c r="AQ11" s="35">
        <v>46137</v>
      </c>
      <c r="AR11" s="34" t="s">
        <v>100</v>
      </c>
      <c r="AS11" s="34" t="s">
        <v>101</v>
      </c>
      <c r="CI11" s="17">
        <f t="shared" si="0"/>
        <v>0</v>
      </c>
    </row>
    <row r="12" spans="1:119" ht="21">
      <c r="A12" s="6" t="s">
        <v>86</v>
      </c>
      <c r="B12" s="6">
        <v>13</v>
      </c>
      <c r="C12" s="6">
        <v>29.89</v>
      </c>
      <c r="D12" s="8" t="s">
        <v>96</v>
      </c>
      <c r="E12" s="7" t="s">
        <v>97</v>
      </c>
      <c r="AH12" s="18"/>
      <c r="AN12" s="34" t="s">
        <v>98</v>
      </c>
      <c r="AO12" s="34" t="s">
        <v>99</v>
      </c>
      <c r="AP12" s="34">
        <v>40</v>
      </c>
      <c r="AQ12" s="35">
        <v>46137</v>
      </c>
      <c r="AR12" s="34" t="s">
        <v>100</v>
      </c>
      <c r="AS12" s="34" t="s">
        <v>101</v>
      </c>
      <c r="CI12" s="17">
        <f t="shared" si="0"/>
        <v>0</v>
      </c>
    </row>
    <row r="13" spans="1:119" ht="21">
      <c r="A13" s="6" t="s">
        <v>102</v>
      </c>
      <c r="B13" s="6">
        <v>6</v>
      </c>
      <c r="C13" s="6">
        <v>52.63</v>
      </c>
      <c r="D13" s="8" t="s">
        <v>96</v>
      </c>
      <c r="E13" s="7" t="s">
        <v>97</v>
      </c>
      <c r="AH13" s="18"/>
      <c r="AN13" s="34" t="s">
        <v>98</v>
      </c>
      <c r="AO13" s="34" t="s">
        <v>99</v>
      </c>
      <c r="AP13" s="34">
        <v>40</v>
      </c>
      <c r="AQ13" s="35">
        <v>46139</v>
      </c>
      <c r="AR13" s="34" t="s">
        <v>100</v>
      </c>
      <c r="AS13" s="34" t="s">
        <v>101</v>
      </c>
      <c r="CI13" s="17">
        <f t="shared" si="0"/>
        <v>0</v>
      </c>
    </row>
    <row r="14" spans="1:119" ht="21">
      <c r="A14" s="6" t="s">
        <v>102</v>
      </c>
      <c r="B14" s="6">
        <v>7</v>
      </c>
      <c r="C14" s="6">
        <v>60.61</v>
      </c>
      <c r="D14" s="8" t="s">
        <v>96</v>
      </c>
      <c r="E14" s="7" t="s">
        <v>103</v>
      </c>
      <c r="F14" s="19">
        <v>46175</v>
      </c>
      <c r="G14" s="17" t="s">
        <v>89</v>
      </c>
      <c r="H14" s="17">
        <v>9</v>
      </c>
      <c r="I14" s="17">
        <v>8</v>
      </c>
      <c r="J14" s="17">
        <v>0.27</v>
      </c>
      <c r="K14" s="17">
        <v>7</v>
      </c>
      <c r="L14" s="17">
        <v>0.4</v>
      </c>
      <c r="M14" s="17">
        <v>5.4</v>
      </c>
      <c r="N14" s="17">
        <v>3.6</v>
      </c>
      <c r="O14" s="17">
        <v>80</v>
      </c>
      <c r="P14" s="17">
        <v>100</v>
      </c>
      <c r="S14" s="17" t="s">
        <v>90</v>
      </c>
      <c r="T14" s="17" t="s">
        <v>90</v>
      </c>
      <c r="Y14" s="17" t="s">
        <v>91</v>
      </c>
      <c r="Z14" s="34">
        <v>3</v>
      </c>
      <c r="AA14" s="34"/>
      <c r="AB14" s="34"/>
      <c r="AC14" s="34"/>
      <c r="AD14" s="34"/>
      <c r="AE14" s="34">
        <v>0.35</v>
      </c>
      <c r="AF14" s="34"/>
      <c r="AG14" s="34"/>
      <c r="AH14" s="47">
        <v>46174</v>
      </c>
      <c r="AI14" s="34" t="s">
        <v>91</v>
      </c>
      <c r="AN14" s="34" t="s">
        <v>104</v>
      </c>
      <c r="AO14" s="34" t="s">
        <v>93</v>
      </c>
      <c r="AP14" s="34">
        <v>135</v>
      </c>
      <c r="AQ14" s="35">
        <v>46176</v>
      </c>
      <c r="AR14" s="34" t="s">
        <v>91</v>
      </c>
      <c r="AS14" s="34" t="s">
        <v>105</v>
      </c>
      <c r="BL14" s="17">
        <v>94</v>
      </c>
      <c r="BN14" s="17" t="s">
        <v>90</v>
      </c>
      <c r="BP14" s="17" t="s">
        <v>91</v>
      </c>
      <c r="CI14" s="17">
        <f t="shared" si="0"/>
        <v>94</v>
      </c>
    </row>
    <row r="15" spans="1:119" ht="21">
      <c r="A15" s="6" t="s">
        <v>102</v>
      </c>
      <c r="B15" s="6">
        <v>11</v>
      </c>
      <c r="C15" s="6">
        <v>56.69</v>
      </c>
      <c r="D15" s="8" t="s">
        <v>96</v>
      </c>
      <c r="E15" s="7" t="s">
        <v>103</v>
      </c>
      <c r="F15" s="19">
        <v>46175</v>
      </c>
      <c r="G15" s="17" t="s">
        <v>89</v>
      </c>
      <c r="H15" s="17">
        <v>6</v>
      </c>
      <c r="I15" s="17">
        <v>8</v>
      </c>
      <c r="J15" s="17">
        <v>0.21</v>
      </c>
      <c r="K15" s="17">
        <v>6</v>
      </c>
      <c r="L15" s="17">
        <v>0.17</v>
      </c>
      <c r="M15" s="17">
        <v>5.2</v>
      </c>
      <c r="N15" s="17">
        <v>2.2999999999999998</v>
      </c>
      <c r="O15" s="17">
        <v>80</v>
      </c>
      <c r="P15" s="17">
        <v>100</v>
      </c>
      <c r="S15" s="17" t="s">
        <v>90</v>
      </c>
      <c r="T15" s="17" t="s">
        <v>90</v>
      </c>
      <c r="Y15" s="17" t="s">
        <v>91</v>
      </c>
      <c r="Z15" s="34">
        <v>3</v>
      </c>
      <c r="AA15" s="34"/>
      <c r="AB15" s="34"/>
      <c r="AC15" s="34"/>
      <c r="AD15" s="34"/>
      <c r="AE15" s="34">
        <v>0.35</v>
      </c>
      <c r="AF15" s="34"/>
      <c r="AG15" s="34"/>
      <c r="AH15" s="47">
        <v>46174</v>
      </c>
      <c r="AI15" s="34" t="s">
        <v>91</v>
      </c>
      <c r="AN15" s="34" t="s">
        <v>104</v>
      </c>
      <c r="AO15" s="34" t="s">
        <v>93</v>
      </c>
      <c r="AP15" s="34">
        <v>135</v>
      </c>
      <c r="AQ15" s="35">
        <v>46172</v>
      </c>
      <c r="AR15" s="34" t="s">
        <v>91</v>
      </c>
      <c r="AS15" s="34" t="s">
        <v>105</v>
      </c>
      <c r="BL15" s="17">
        <v>94</v>
      </c>
      <c r="BN15" s="17" t="s">
        <v>90</v>
      </c>
      <c r="BP15" s="17" t="s">
        <v>91</v>
      </c>
      <c r="CI15" s="17">
        <f t="shared" si="0"/>
        <v>94</v>
      </c>
    </row>
    <row r="16" spans="1:119" ht="21">
      <c r="A16" s="6" t="s">
        <v>102</v>
      </c>
      <c r="B16" s="6">
        <v>12</v>
      </c>
      <c r="C16" s="6">
        <v>49.78</v>
      </c>
      <c r="D16" s="8" t="s">
        <v>96</v>
      </c>
      <c r="E16" s="7" t="s">
        <v>103</v>
      </c>
      <c r="F16" s="19">
        <v>46175</v>
      </c>
      <c r="G16" s="17" t="s">
        <v>89</v>
      </c>
      <c r="H16" s="17">
        <v>6</v>
      </c>
      <c r="I16" s="17">
        <v>10</v>
      </c>
      <c r="J16" s="17">
        <v>0.22</v>
      </c>
      <c r="K16" s="17">
        <v>7</v>
      </c>
      <c r="L16" s="17">
        <v>0.22</v>
      </c>
      <c r="M16" s="17">
        <v>5.3</v>
      </c>
      <c r="N16" s="17">
        <v>2.2999999999999998</v>
      </c>
      <c r="O16" s="17">
        <v>80</v>
      </c>
      <c r="P16" s="17">
        <v>100</v>
      </c>
      <c r="S16" s="17" t="s">
        <v>90</v>
      </c>
      <c r="T16" s="17" t="s">
        <v>90</v>
      </c>
      <c r="Y16" s="17" t="s">
        <v>91</v>
      </c>
      <c r="Z16" s="34">
        <v>3</v>
      </c>
      <c r="AA16" s="34"/>
      <c r="AB16" s="34"/>
      <c r="AC16" s="34"/>
      <c r="AD16" s="34"/>
      <c r="AE16" s="34">
        <v>0.35</v>
      </c>
      <c r="AF16" s="34"/>
      <c r="AG16" s="34"/>
      <c r="AH16" s="47">
        <v>46174</v>
      </c>
      <c r="AI16" s="34" t="s">
        <v>91</v>
      </c>
      <c r="AN16" s="34" t="s">
        <v>104</v>
      </c>
      <c r="AO16" s="34" t="s">
        <v>93</v>
      </c>
      <c r="AP16" s="34">
        <v>135</v>
      </c>
      <c r="AQ16" s="35">
        <v>46173</v>
      </c>
      <c r="AR16" s="34" t="s">
        <v>91</v>
      </c>
      <c r="AS16" s="34" t="s">
        <v>105</v>
      </c>
      <c r="BL16" s="17">
        <v>94</v>
      </c>
      <c r="BN16" s="17" t="s">
        <v>90</v>
      </c>
      <c r="BP16" s="17" t="s">
        <v>91</v>
      </c>
      <c r="CI16" s="17">
        <f t="shared" si="0"/>
        <v>94</v>
      </c>
    </row>
    <row r="17" spans="1:87" ht="21">
      <c r="A17" s="6" t="s">
        <v>102</v>
      </c>
      <c r="B17" s="6">
        <v>13</v>
      </c>
      <c r="C17" s="6">
        <v>26.67</v>
      </c>
      <c r="D17" s="8" t="s">
        <v>96</v>
      </c>
      <c r="E17" s="7" t="s">
        <v>103</v>
      </c>
      <c r="F17" s="19">
        <v>46175</v>
      </c>
      <c r="G17" s="17" t="s">
        <v>89</v>
      </c>
      <c r="H17" s="17">
        <v>6</v>
      </c>
      <c r="I17" s="17">
        <v>7</v>
      </c>
      <c r="J17" s="17">
        <v>0.22</v>
      </c>
      <c r="K17" s="17">
        <v>6</v>
      </c>
      <c r="L17" s="17">
        <v>0.17</v>
      </c>
      <c r="M17" s="17">
        <v>5.3</v>
      </c>
      <c r="N17" s="17">
        <v>2.4</v>
      </c>
      <c r="O17" s="17">
        <v>80</v>
      </c>
      <c r="P17" s="17">
        <v>100</v>
      </c>
      <c r="S17" s="17" t="s">
        <v>90</v>
      </c>
      <c r="T17" s="17" t="s">
        <v>90</v>
      </c>
      <c r="Y17" s="17" t="s">
        <v>91</v>
      </c>
      <c r="Z17" s="34">
        <v>3</v>
      </c>
      <c r="AA17" s="34"/>
      <c r="AB17" s="34"/>
      <c r="AC17" s="34"/>
      <c r="AD17" s="34"/>
      <c r="AE17" s="34">
        <v>0.35</v>
      </c>
      <c r="AF17" s="34"/>
      <c r="AG17" s="34"/>
      <c r="AH17" s="47">
        <v>46174</v>
      </c>
      <c r="AI17" s="34" t="s">
        <v>91</v>
      </c>
      <c r="AN17" s="34" t="s">
        <v>104</v>
      </c>
      <c r="AO17" s="34" t="s">
        <v>93</v>
      </c>
      <c r="AP17" s="34">
        <v>135</v>
      </c>
      <c r="AQ17" s="35">
        <v>46174</v>
      </c>
      <c r="AR17" s="34" t="s">
        <v>91</v>
      </c>
      <c r="AS17" s="34" t="s">
        <v>105</v>
      </c>
      <c r="BL17" s="17">
        <v>94</v>
      </c>
      <c r="BN17" s="17" t="s">
        <v>90</v>
      </c>
      <c r="BP17" s="17" t="s">
        <v>91</v>
      </c>
      <c r="CI17" s="17">
        <f t="shared" si="0"/>
        <v>94</v>
      </c>
    </row>
    <row r="18" spans="1:87" ht="21">
      <c r="A18" s="6" t="s">
        <v>102</v>
      </c>
      <c r="B18" s="6">
        <v>14</v>
      </c>
      <c r="C18" s="6">
        <v>33.96</v>
      </c>
      <c r="D18" s="8" t="s">
        <v>96</v>
      </c>
      <c r="E18" s="7" t="s">
        <v>103</v>
      </c>
      <c r="F18" s="19">
        <v>46175</v>
      </c>
      <c r="G18" s="17" t="s">
        <v>89</v>
      </c>
      <c r="H18" s="17">
        <v>7</v>
      </c>
      <c r="I18" s="17">
        <v>10</v>
      </c>
      <c r="J18" s="17">
        <v>0.21</v>
      </c>
      <c r="K18" s="17">
        <v>5</v>
      </c>
      <c r="L18" s="17">
        <v>0.18</v>
      </c>
      <c r="M18" s="17">
        <v>5.3</v>
      </c>
      <c r="N18" s="17">
        <v>2.6</v>
      </c>
      <c r="O18" s="17">
        <v>80</v>
      </c>
      <c r="P18" s="17">
        <v>100</v>
      </c>
      <c r="S18" s="17" t="s">
        <v>90</v>
      </c>
      <c r="T18" s="17" t="s">
        <v>90</v>
      </c>
      <c r="Y18" s="17" t="s">
        <v>91</v>
      </c>
      <c r="Z18" s="34">
        <v>3</v>
      </c>
      <c r="AA18" s="34"/>
      <c r="AB18" s="34"/>
      <c r="AC18" s="34"/>
      <c r="AD18" s="34"/>
      <c r="AE18" s="34">
        <v>0.35</v>
      </c>
      <c r="AF18" s="34"/>
      <c r="AG18" s="34"/>
      <c r="AH18" s="47">
        <v>46174</v>
      </c>
      <c r="AI18" s="34" t="s">
        <v>91</v>
      </c>
      <c r="AJ18" s="34"/>
      <c r="AK18" s="34" t="s">
        <v>106</v>
      </c>
      <c r="AL18" s="35">
        <v>46164</v>
      </c>
      <c r="AM18" s="34" t="s">
        <v>91</v>
      </c>
      <c r="AN18" s="48" t="s">
        <v>107</v>
      </c>
      <c r="AO18" s="48" t="s">
        <v>108</v>
      </c>
      <c r="AP18" s="34">
        <v>135</v>
      </c>
      <c r="AQ18" s="35">
        <v>46175</v>
      </c>
      <c r="AR18" s="34" t="s">
        <v>91</v>
      </c>
      <c r="AS18" s="34" t="s">
        <v>105</v>
      </c>
      <c r="BL18" s="17">
        <v>94</v>
      </c>
      <c r="BN18" s="17" t="s">
        <v>90</v>
      </c>
      <c r="BP18" s="17" t="s">
        <v>91</v>
      </c>
      <c r="CI18" s="17">
        <f t="shared" si="0"/>
        <v>94</v>
      </c>
    </row>
    <row r="19" spans="1:87" ht="21">
      <c r="A19" s="6" t="s">
        <v>102</v>
      </c>
      <c r="B19" s="6">
        <v>16</v>
      </c>
      <c r="C19" s="6">
        <v>91.46</v>
      </c>
      <c r="D19" s="8" t="s">
        <v>96</v>
      </c>
      <c r="E19" s="7" t="s">
        <v>103</v>
      </c>
      <c r="F19" s="19">
        <v>46175</v>
      </c>
      <c r="G19" s="17" t="s">
        <v>89</v>
      </c>
      <c r="H19" s="17">
        <v>7</v>
      </c>
      <c r="I19" s="17">
        <v>9</v>
      </c>
      <c r="J19" s="17">
        <v>0.28999999999999998</v>
      </c>
      <c r="K19" s="17">
        <v>6</v>
      </c>
      <c r="L19" s="17">
        <v>0.2</v>
      </c>
      <c r="M19" s="17">
        <v>5.6</v>
      </c>
      <c r="N19" s="17">
        <v>2.4</v>
      </c>
      <c r="O19" s="17">
        <v>80</v>
      </c>
      <c r="P19" s="17">
        <v>100</v>
      </c>
      <c r="S19" s="17" t="s">
        <v>90</v>
      </c>
      <c r="T19" s="17" t="s">
        <v>90</v>
      </c>
      <c r="Y19" s="17" t="s">
        <v>91</v>
      </c>
      <c r="Z19" s="34">
        <v>3</v>
      </c>
      <c r="AA19" s="34"/>
      <c r="AB19" s="34"/>
      <c r="AC19" s="34"/>
      <c r="AD19" s="34"/>
      <c r="AE19" s="34">
        <v>0.35</v>
      </c>
      <c r="AF19" s="34"/>
      <c r="AG19" s="34"/>
      <c r="AH19" s="47">
        <v>46174</v>
      </c>
      <c r="AI19" s="34" t="s">
        <v>91</v>
      </c>
      <c r="AJ19" s="34"/>
      <c r="AK19" s="34">
        <v>2.5</v>
      </c>
      <c r="AL19" s="35">
        <v>46164</v>
      </c>
      <c r="AM19" s="34" t="s">
        <v>91</v>
      </c>
      <c r="AN19" s="48" t="s">
        <v>109</v>
      </c>
      <c r="AO19" s="48" t="s">
        <v>110</v>
      </c>
      <c r="AP19" s="34">
        <v>135</v>
      </c>
      <c r="AQ19" s="35">
        <v>46176</v>
      </c>
      <c r="AR19" s="34" t="s">
        <v>91</v>
      </c>
      <c r="AS19" s="34" t="s">
        <v>105</v>
      </c>
      <c r="BL19" s="17">
        <v>94</v>
      </c>
      <c r="BN19" s="17" t="s">
        <v>90</v>
      </c>
      <c r="BP19" s="17" t="s">
        <v>91</v>
      </c>
      <c r="CI19" s="17">
        <f t="shared" si="0"/>
        <v>94</v>
      </c>
    </row>
    <row r="20" spans="1:87" ht="21">
      <c r="A20" s="6" t="s">
        <v>111</v>
      </c>
      <c r="B20" s="6">
        <v>1</v>
      </c>
      <c r="C20" s="6">
        <v>58.59</v>
      </c>
      <c r="D20" s="8" t="s">
        <v>87</v>
      </c>
      <c r="E20" s="7" t="s">
        <v>88</v>
      </c>
      <c r="F20" s="45">
        <v>46157</v>
      </c>
      <c r="G20" s="46" t="s">
        <v>89</v>
      </c>
      <c r="H20" s="46">
        <v>5</v>
      </c>
      <c r="I20" s="46">
        <v>19</v>
      </c>
      <c r="J20" s="46">
        <v>0.21</v>
      </c>
      <c r="K20" s="46">
        <v>10</v>
      </c>
      <c r="L20" s="46">
        <v>0.33</v>
      </c>
      <c r="M20" s="46">
        <v>5.6</v>
      </c>
      <c r="N20" s="46">
        <v>2.6</v>
      </c>
      <c r="O20" s="34">
        <v>70</v>
      </c>
      <c r="P20" s="34">
        <v>150</v>
      </c>
      <c r="Q20" s="34"/>
      <c r="R20" s="34"/>
      <c r="S20" s="34" t="s">
        <v>90</v>
      </c>
      <c r="T20" s="34" t="s">
        <v>90</v>
      </c>
      <c r="U20" s="34"/>
      <c r="V20" s="35">
        <v>46172</v>
      </c>
      <c r="W20" s="35">
        <v>46172</v>
      </c>
      <c r="X20" s="35"/>
      <c r="Y20" s="34" t="s">
        <v>91</v>
      </c>
      <c r="Z20" s="34">
        <v>3</v>
      </c>
      <c r="AA20" s="34">
        <v>1</v>
      </c>
      <c r="AB20" s="34">
        <v>0.45</v>
      </c>
      <c r="AC20" s="34"/>
      <c r="AD20" s="34"/>
      <c r="AE20" s="34"/>
      <c r="AF20" s="34"/>
      <c r="AG20" s="34"/>
      <c r="AH20" s="47">
        <v>46159</v>
      </c>
      <c r="AI20" s="34" t="s">
        <v>94</v>
      </c>
      <c r="AN20" s="34" t="s">
        <v>92</v>
      </c>
      <c r="AO20" s="34" t="s">
        <v>93</v>
      </c>
      <c r="AP20" s="34">
        <v>3.8</v>
      </c>
      <c r="AQ20" s="35">
        <v>46160</v>
      </c>
      <c r="AR20" s="34" t="s">
        <v>112</v>
      </c>
      <c r="AS20" s="34" t="s">
        <v>113</v>
      </c>
      <c r="BL20" s="34">
        <v>110</v>
      </c>
      <c r="BM20" s="34"/>
      <c r="BN20" s="34" t="s">
        <v>90</v>
      </c>
      <c r="BO20" s="35">
        <v>46172</v>
      </c>
      <c r="BP20" s="34" t="s">
        <v>91</v>
      </c>
      <c r="CI20" s="17">
        <f t="shared" si="0"/>
        <v>110</v>
      </c>
    </row>
    <row r="21" spans="1:87" ht="21">
      <c r="A21" s="6" t="s">
        <v>111</v>
      </c>
      <c r="B21" s="6">
        <v>2</v>
      </c>
      <c r="C21" s="6">
        <v>40.99</v>
      </c>
      <c r="D21" s="8" t="s">
        <v>87</v>
      </c>
      <c r="E21" s="7" t="s">
        <v>88</v>
      </c>
      <c r="F21" s="45">
        <v>46157</v>
      </c>
      <c r="G21" s="46" t="s">
        <v>89</v>
      </c>
      <c r="H21" s="46">
        <v>4</v>
      </c>
      <c r="I21" s="46">
        <v>14</v>
      </c>
      <c r="J21" s="46">
        <v>0.24</v>
      </c>
      <c r="K21" s="46">
        <v>11</v>
      </c>
      <c r="L21" s="46">
        <v>0.48</v>
      </c>
      <c r="M21" s="46">
        <v>5.3</v>
      </c>
      <c r="N21" s="46">
        <v>2.2999999999999998</v>
      </c>
      <c r="O21" s="34">
        <v>70</v>
      </c>
      <c r="P21" s="34">
        <v>150</v>
      </c>
      <c r="Q21" s="34"/>
      <c r="R21" s="34"/>
      <c r="S21" s="34" t="s">
        <v>90</v>
      </c>
      <c r="T21" s="34" t="s">
        <v>90</v>
      </c>
      <c r="U21" s="34"/>
      <c r="V21" s="35">
        <v>46172</v>
      </c>
      <c r="W21" s="35">
        <v>46172</v>
      </c>
      <c r="X21" s="35"/>
      <c r="Y21" s="34" t="s">
        <v>91</v>
      </c>
      <c r="Z21" s="34">
        <v>3</v>
      </c>
      <c r="AA21" s="34">
        <v>1</v>
      </c>
      <c r="AB21" s="34">
        <v>0.45</v>
      </c>
      <c r="AC21" s="34"/>
      <c r="AD21" s="34"/>
      <c r="AE21" s="34"/>
      <c r="AF21" s="34"/>
      <c r="AG21" s="34"/>
      <c r="AH21" s="47">
        <v>46159</v>
      </c>
      <c r="AI21" s="34" t="s">
        <v>94</v>
      </c>
      <c r="AN21" s="34" t="s">
        <v>92</v>
      </c>
      <c r="AO21" s="34" t="s">
        <v>93</v>
      </c>
      <c r="AP21" s="34">
        <v>3.8</v>
      </c>
      <c r="AQ21" s="35">
        <v>46162</v>
      </c>
      <c r="AR21" s="34" t="s">
        <v>112</v>
      </c>
      <c r="AS21" s="34" t="s">
        <v>113</v>
      </c>
      <c r="BL21" s="34">
        <v>110</v>
      </c>
      <c r="BM21" s="34"/>
      <c r="BN21" s="34" t="s">
        <v>90</v>
      </c>
      <c r="BO21" s="35">
        <v>46172</v>
      </c>
      <c r="BP21" s="34" t="s">
        <v>91</v>
      </c>
      <c r="CI21" s="17">
        <f t="shared" si="0"/>
        <v>110</v>
      </c>
    </row>
    <row r="22" spans="1:87" ht="21">
      <c r="A22" s="6" t="s">
        <v>111</v>
      </c>
      <c r="B22" s="6">
        <v>3</v>
      </c>
      <c r="C22" s="6">
        <v>63.11</v>
      </c>
      <c r="D22" s="8" t="s">
        <v>87</v>
      </c>
      <c r="E22" s="7" t="s">
        <v>88</v>
      </c>
      <c r="F22" s="45">
        <v>46157</v>
      </c>
      <c r="G22" s="46" t="s">
        <v>89</v>
      </c>
      <c r="H22" s="46">
        <v>4</v>
      </c>
      <c r="I22" s="46">
        <v>15</v>
      </c>
      <c r="J22" s="46">
        <v>0.23</v>
      </c>
      <c r="K22" s="46">
        <v>12</v>
      </c>
      <c r="L22" s="46">
        <v>0.66</v>
      </c>
      <c r="M22" s="46">
        <v>5.3</v>
      </c>
      <c r="N22" s="46">
        <v>2.5</v>
      </c>
      <c r="O22" s="34">
        <v>70</v>
      </c>
      <c r="P22" s="34">
        <v>150</v>
      </c>
      <c r="Q22" s="34"/>
      <c r="R22" s="34"/>
      <c r="S22" s="34" t="s">
        <v>90</v>
      </c>
      <c r="T22" s="34" t="s">
        <v>90</v>
      </c>
      <c r="U22" s="34"/>
      <c r="V22" s="35">
        <v>46172</v>
      </c>
      <c r="W22" s="35">
        <v>46172</v>
      </c>
      <c r="X22" s="35"/>
      <c r="Y22" s="34" t="s">
        <v>91</v>
      </c>
      <c r="Z22" s="34">
        <v>3</v>
      </c>
      <c r="AA22" s="34">
        <v>1</v>
      </c>
      <c r="AB22" s="34">
        <v>0.45</v>
      </c>
      <c r="AC22" s="34"/>
      <c r="AD22" s="34"/>
      <c r="AE22" s="34"/>
      <c r="AF22" s="34"/>
      <c r="AG22" s="34"/>
      <c r="AH22" s="47">
        <v>46159</v>
      </c>
      <c r="AI22" s="34" t="s">
        <v>94</v>
      </c>
      <c r="AN22" s="34" t="s">
        <v>114</v>
      </c>
      <c r="AO22" s="34" t="s">
        <v>93</v>
      </c>
      <c r="AP22" s="34">
        <v>4</v>
      </c>
      <c r="AQ22" s="35">
        <v>46160</v>
      </c>
      <c r="AR22" s="34" t="s">
        <v>112</v>
      </c>
      <c r="AS22" s="34" t="s">
        <v>113</v>
      </c>
      <c r="BL22" s="34">
        <v>110</v>
      </c>
      <c r="BM22" s="34"/>
      <c r="BN22" s="34" t="s">
        <v>90</v>
      </c>
      <c r="BO22" s="35">
        <v>46172</v>
      </c>
      <c r="BP22" s="34" t="s">
        <v>91</v>
      </c>
      <c r="CI22" s="17">
        <f t="shared" si="0"/>
        <v>110</v>
      </c>
    </row>
    <row r="23" spans="1:87" ht="21">
      <c r="A23" s="6" t="s">
        <v>111</v>
      </c>
      <c r="B23" s="6">
        <v>4</v>
      </c>
      <c r="C23" s="6">
        <v>71.48</v>
      </c>
      <c r="D23" s="8" t="s">
        <v>87</v>
      </c>
      <c r="E23" s="7" t="s">
        <v>88</v>
      </c>
      <c r="F23" s="45">
        <v>46157</v>
      </c>
      <c r="G23" s="46" t="s">
        <v>89</v>
      </c>
      <c r="H23" s="46">
        <v>4</v>
      </c>
      <c r="I23" s="46">
        <v>11</v>
      </c>
      <c r="J23" s="46">
        <v>0.23</v>
      </c>
      <c r="K23" s="46">
        <v>9</v>
      </c>
      <c r="L23" s="46">
        <v>0.35</v>
      </c>
      <c r="M23" s="46">
        <v>5.3</v>
      </c>
      <c r="N23" s="46">
        <v>2.4</v>
      </c>
      <c r="O23" s="34">
        <v>70</v>
      </c>
      <c r="P23" s="34">
        <v>150</v>
      </c>
      <c r="Q23" s="34"/>
      <c r="R23" s="34"/>
      <c r="S23" s="34" t="s">
        <v>90</v>
      </c>
      <c r="T23" s="34" t="s">
        <v>90</v>
      </c>
      <c r="U23" s="34"/>
      <c r="V23" s="35">
        <v>46172</v>
      </c>
      <c r="W23" s="35">
        <v>46172</v>
      </c>
      <c r="X23" s="35"/>
      <c r="Y23" s="34" t="s">
        <v>91</v>
      </c>
      <c r="Z23" s="34">
        <v>3</v>
      </c>
      <c r="AA23" s="34">
        <v>1</v>
      </c>
      <c r="AB23" s="34">
        <v>0.45</v>
      </c>
      <c r="AC23" s="34"/>
      <c r="AD23" s="34"/>
      <c r="AE23" s="34"/>
      <c r="AF23" s="34"/>
      <c r="AG23" s="34"/>
      <c r="AH23" s="47">
        <v>46159</v>
      </c>
      <c r="AI23" s="34" t="s">
        <v>94</v>
      </c>
      <c r="AL23" s="19"/>
      <c r="AN23" s="34" t="s">
        <v>115</v>
      </c>
      <c r="AO23" s="34" t="s">
        <v>93</v>
      </c>
      <c r="AP23" s="34">
        <v>4</v>
      </c>
      <c r="AQ23" s="35">
        <v>46158</v>
      </c>
      <c r="AR23" s="34" t="s">
        <v>112</v>
      </c>
      <c r="AS23" s="34" t="s">
        <v>113</v>
      </c>
      <c r="BL23" s="34">
        <v>110</v>
      </c>
      <c r="BM23" s="34"/>
      <c r="BN23" s="34" t="s">
        <v>90</v>
      </c>
      <c r="BO23" s="35">
        <v>46172</v>
      </c>
      <c r="BP23" s="34" t="s">
        <v>91</v>
      </c>
      <c r="CI23" s="17">
        <f t="shared" si="0"/>
        <v>110</v>
      </c>
    </row>
    <row r="24" spans="1:87" ht="21">
      <c r="A24" s="6" t="s">
        <v>111</v>
      </c>
      <c r="B24" s="6">
        <v>5</v>
      </c>
      <c r="C24" s="6">
        <v>67.739999999999995</v>
      </c>
      <c r="D24" s="8" t="s">
        <v>96</v>
      </c>
      <c r="E24" s="7" t="s">
        <v>97</v>
      </c>
      <c r="AH24" s="18"/>
      <c r="AN24" s="34" t="s">
        <v>98</v>
      </c>
      <c r="AO24" s="34" t="s">
        <v>99</v>
      </c>
      <c r="AP24" s="34">
        <v>80</v>
      </c>
      <c r="AQ24" s="35">
        <v>46135</v>
      </c>
      <c r="AR24" s="34" t="s">
        <v>100</v>
      </c>
      <c r="AS24" s="34" t="s">
        <v>101</v>
      </c>
      <c r="CI24" s="17">
        <f t="shared" si="0"/>
        <v>0</v>
      </c>
    </row>
    <row r="25" spans="1:87" ht="21">
      <c r="A25" s="6" t="s">
        <v>111</v>
      </c>
      <c r="B25" s="6">
        <v>6</v>
      </c>
      <c r="C25" s="6">
        <v>24.52</v>
      </c>
      <c r="D25" s="8" t="s">
        <v>96</v>
      </c>
      <c r="E25" s="7" t="s">
        <v>97</v>
      </c>
      <c r="AH25" s="18"/>
      <c r="AN25" s="34" t="s">
        <v>98</v>
      </c>
      <c r="AO25" s="34" t="s">
        <v>99</v>
      </c>
      <c r="AP25" s="34">
        <v>80</v>
      </c>
      <c r="AQ25" s="35">
        <v>46135</v>
      </c>
      <c r="AR25" s="34" t="s">
        <v>100</v>
      </c>
      <c r="AS25" s="34" t="s">
        <v>101</v>
      </c>
      <c r="CI25" s="17">
        <f t="shared" si="0"/>
        <v>0</v>
      </c>
    </row>
    <row r="26" spans="1:87" ht="21">
      <c r="A26" s="6" t="s">
        <v>111</v>
      </c>
      <c r="B26" s="6">
        <v>11</v>
      </c>
      <c r="C26" s="6">
        <v>31</v>
      </c>
      <c r="D26" s="8" t="s">
        <v>87</v>
      </c>
      <c r="E26" s="7" t="s">
        <v>88</v>
      </c>
      <c r="F26" s="45">
        <v>46157</v>
      </c>
      <c r="G26" s="46" t="s">
        <v>89</v>
      </c>
      <c r="H26" s="46">
        <v>5</v>
      </c>
      <c r="I26" s="46">
        <v>4</v>
      </c>
      <c r="J26" s="46">
        <v>0.28999999999999998</v>
      </c>
      <c r="K26" s="46">
        <v>10</v>
      </c>
      <c r="L26" s="46">
        <v>0.67</v>
      </c>
      <c r="M26" s="46">
        <v>5.4</v>
      </c>
      <c r="N26" s="46">
        <v>3.7</v>
      </c>
      <c r="O26" s="34">
        <v>70</v>
      </c>
      <c r="P26" s="34">
        <v>150</v>
      </c>
      <c r="Q26" s="34"/>
      <c r="R26" s="34"/>
      <c r="S26" s="34" t="s">
        <v>90</v>
      </c>
      <c r="T26" s="34" t="s">
        <v>90</v>
      </c>
      <c r="U26" s="34"/>
      <c r="V26" s="35">
        <v>46172</v>
      </c>
      <c r="W26" s="35">
        <v>46172</v>
      </c>
      <c r="X26" s="35"/>
      <c r="Y26" s="34" t="s">
        <v>91</v>
      </c>
      <c r="Z26" s="34">
        <v>3</v>
      </c>
      <c r="AA26" s="34">
        <v>1</v>
      </c>
      <c r="AB26" s="34">
        <v>0.45</v>
      </c>
      <c r="AC26" s="34"/>
      <c r="AD26" s="34"/>
      <c r="AE26" s="34"/>
      <c r="AF26" s="34"/>
      <c r="AG26" s="34"/>
      <c r="AH26" s="47">
        <v>46159</v>
      </c>
      <c r="AI26" s="34" t="s">
        <v>94</v>
      </c>
      <c r="AN26" s="34" t="s">
        <v>115</v>
      </c>
      <c r="AO26" s="34" t="s">
        <v>93</v>
      </c>
      <c r="AP26" s="34">
        <v>4</v>
      </c>
      <c r="AQ26" s="35">
        <v>46159</v>
      </c>
      <c r="AR26" s="34" t="s">
        <v>112</v>
      </c>
      <c r="AS26" s="34" t="s">
        <v>113</v>
      </c>
      <c r="BL26" s="34">
        <v>110</v>
      </c>
      <c r="BM26" s="34"/>
      <c r="BN26" s="34" t="s">
        <v>90</v>
      </c>
      <c r="BO26" s="35">
        <v>46172</v>
      </c>
      <c r="BP26" s="34" t="s">
        <v>91</v>
      </c>
      <c r="CI26" s="17">
        <f t="shared" si="0"/>
        <v>110</v>
      </c>
    </row>
    <row r="27" spans="1:87" ht="21">
      <c r="A27" s="6" t="s">
        <v>111</v>
      </c>
      <c r="B27" s="6">
        <v>12</v>
      </c>
      <c r="C27" s="6">
        <v>67</v>
      </c>
      <c r="D27" s="8" t="s">
        <v>96</v>
      </c>
      <c r="E27" s="7" t="s">
        <v>97</v>
      </c>
      <c r="AH27" s="18"/>
      <c r="AN27" s="34" t="s">
        <v>98</v>
      </c>
      <c r="AO27" s="34" t="s">
        <v>99</v>
      </c>
      <c r="AP27" s="34">
        <v>80</v>
      </c>
      <c r="AQ27" s="35">
        <v>46135</v>
      </c>
      <c r="AR27" s="34" t="s">
        <v>100</v>
      </c>
      <c r="AS27" s="34" t="s">
        <v>101</v>
      </c>
      <c r="CI27" s="17">
        <f t="shared" si="0"/>
        <v>0</v>
      </c>
    </row>
    <row r="28" spans="1:87" ht="21">
      <c r="A28" s="6" t="s">
        <v>116</v>
      </c>
      <c r="B28" s="6">
        <v>1</v>
      </c>
      <c r="C28" s="6">
        <v>138.88</v>
      </c>
      <c r="D28" s="8" t="s">
        <v>117</v>
      </c>
      <c r="E28" s="7" t="s">
        <v>88</v>
      </c>
      <c r="G28" s="17" t="s">
        <v>118</v>
      </c>
      <c r="P28" s="17">
        <v>145.9</v>
      </c>
      <c r="Q28" s="17">
        <v>107.2</v>
      </c>
      <c r="R28" s="17">
        <v>100</v>
      </c>
      <c r="S28" s="17" t="s">
        <v>119</v>
      </c>
      <c r="T28" s="17" t="s">
        <v>90</v>
      </c>
      <c r="U28" s="17" t="s">
        <v>119</v>
      </c>
      <c r="V28" s="19">
        <v>46175</v>
      </c>
      <c r="W28" s="19">
        <v>46175</v>
      </c>
      <c r="X28" s="19">
        <v>46175</v>
      </c>
      <c r="Y28" s="17" t="s">
        <v>91</v>
      </c>
      <c r="Z28" s="34">
        <v>3</v>
      </c>
      <c r="AA28" s="34">
        <v>1</v>
      </c>
      <c r="AB28" s="34">
        <v>0.45</v>
      </c>
      <c r="AC28" s="34"/>
      <c r="AD28" s="34"/>
      <c r="AE28" s="34"/>
      <c r="AF28" s="34"/>
      <c r="AG28" s="34"/>
      <c r="AH28" s="47">
        <v>46057</v>
      </c>
      <c r="AI28" s="34" t="s">
        <v>94</v>
      </c>
      <c r="AJ28" s="34">
        <v>3</v>
      </c>
      <c r="AK28" s="34"/>
      <c r="AL28" s="35">
        <v>46164</v>
      </c>
      <c r="AM28" s="34" t="s">
        <v>94</v>
      </c>
      <c r="AN28" s="34" t="s">
        <v>115</v>
      </c>
      <c r="AO28" s="34" t="s">
        <v>93</v>
      </c>
      <c r="AP28" s="34">
        <v>3.5</v>
      </c>
      <c r="AQ28" s="35">
        <v>46143</v>
      </c>
      <c r="AR28" s="34" t="s">
        <v>112</v>
      </c>
      <c r="AS28" s="34" t="s">
        <v>113</v>
      </c>
      <c r="AT28" s="34" t="s">
        <v>92</v>
      </c>
      <c r="AU28" s="34" t="s">
        <v>93</v>
      </c>
      <c r="AV28" s="34">
        <v>3.6</v>
      </c>
      <c r="AW28" s="35">
        <v>46162</v>
      </c>
      <c r="AX28" s="34">
        <v>138.88</v>
      </c>
      <c r="AY28" s="34" t="s">
        <v>112</v>
      </c>
      <c r="AZ28" s="34" t="s">
        <v>113</v>
      </c>
      <c r="BL28" s="17">
        <v>100</v>
      </c>
      <c r="BN28" s="17" t="s">
        <v>90</v>
      </c>
      <c r="BO28" s="19">
        <v>46175</v>
      </c>
      <c r="BP28" s="17" t="s">
        <v>91</v>
      </c>
      <c r="CI28" s="17">
        <f t="shared" si="0"/>
        <v>100</v>
      </c>
    </row>
    <row r="29" spans="1:87" ht="21">
      <c r="A29" s="6" t="s">
        <v>116</v>
      </c>
      <c r="B29" s="6">
        <v>2</v>
      </c>
      <c r="C29" s="6">
        <v>141.69999999999999</v>
      </c>
      <c r="D29" s="8" t="s">
        <v>96</v>
      </c>
      <c r="E29" s="7" t="s">
        <v>97</v>
      </c>
      <c r="AH29" s="18"/>
      <c r="AN29" s="34" t="s">
        <v>98</v>
      </c>
      <c r="AO29" s="34" t="s">
        <v>99</v>
      </c>
      <c r="AP29" s="34">
        <v>80</v>
      </c>
      <c r="AQ29" s="35">
        <v>46134</v>
      </c>
      <c r="AR29" s="34" t="s">
        <v>100</v>
      </c>
      <c r="AS29" s="34" t="s">
        <v>101</v>
      </c>
      <c r="CI29" s="17">
        <f t="shared" si="0"/>
        <v>0</v>
      </c>
    </row>
    <row r="30" spans="1:87" ht="21">
      <c r="A30" s="6" t="s">
        <v>120</v>
      </c>
      <c r="B30" s="6">
        <v>1</v>
      </c>
      <c r="C30" s="6">
        <v>101.74</v>
      </c>
      <c r="D30" s="8" t="s">
        <v>121</v>
      </c>
      <c r="E30" s="7" t="s">
        <v>97</v>
      </c>
      <c r="AH30" s="18"/>
      <c r="AN30" s="34" t="s">
        <v>122</v>
      </c>
      <c r="AO30" s="34" t="s">
        <v>123</v>
      </c>
      <c r="AP30" s="34">
        <v>10</v>
      </c>
      <c r="AQ30" s="35">
        <v>46170</v>
      </c>
      <c r="AR30" s="34" t="s">
        <v>124</v>
      </c>
      <c r="AS30" s="34" t="s">
        <v>125</v>
      </c>
      <c r="CI30" s="17">
        <f t="shared" si="0"/>
        <v>0</v>
      </c>
    </row>
    <row r="31" spans="1:87" ht="21">
      <c r="A31" s="6" t="s">
        <v>120</v>
      </c>
      <c r="B31" s="6">
        <v>2</v>
      </c>
      <c r="C31" s="6">
        <v>34.99</v>
      </c>
      <c r="D31" s="8" t="s">
        <v>117</v>
      </c>
      <c r="E31" s="7" t="s">
        <v>88</v>
      </c>
      <c r="G31" s="17" t="s">
        <v>118</v>
      </c>
      <c r="P31" s="34">
        <v>120</v>
      </c>
      <c r="Q31" s="17">
        <v>50</v>
      </c>
      <c r="S31" s="17" t="s">
        <v>119</v>
      </c>
      <c r="T31" s="34" t="s">
        <v>90</v>
      </c>
      <c r="U31" s="34"/>
      <c r="W31" s="35">
        <v>46170</v>
      </c>
      <c r="X31" s="35"/>
      <c r="Y31" s="17" t="s">
        <v>100</v>
      </c>
      <c r="Z31" s="34">
        <v>3</v>
      </c>
      <c r="AA31" s="34">
        <v>1</v>
      </c>
      <c r="AB31" s="34">
        <v>0.45</v>
      </c>
      <c r="AC31" s="34"/>
      <c r="AD31" s="34"/>
      <c r="AE31" s="34"/>
      <c r="AF31" s="34"/>
      <c r="AG31" s="34"/>
      <c r="AH31" s="47" t="s">
        <v>126</v>
      </c>
      <c r="AI31" s="34" t="s">
        <v>94</v>
      </c>
      <c r="AJ31" s="34">
        <v>3.5</v>
      </c>
      <c r="AK31" s="34">
        <v>2.5</v>
      </c>
      <c r="AL31" s="35">
        <v>46136</v>
      </c>
      <c r="AM31" s="34" t="s">
        <v>94</v>
      </c>
      <c r="AN31" s="34" t="s">
        <v>127</v>
      </c>
      <c r="AO31" s="34" t="s">
        <v>93</v>
      </c>
      <c r="AP31" s="34">
        <v>3.5</v>
      </c>
      <c r="AQ31" s="35">
        <v>46139</v>
      </c>
      <c r="AR31" s="34" t="s">
        <v>94</v>
      </c>
      <c r="AS31" s="34" t="s">
        <v>95</v>
      </c>
      <c r="AT31" s="34" t="s">
        <v>128</v>
      </c>
      <c r="AU31" s="34" t="s">
        <v>93</v>
      </c>
      <c r="AV31" s="34">
        <v>3.6</v>
      </c>
      <c r="AW31" s="35">
        <v>46171</v>
      </c>
      <c r="AX31" s="34">
        <v>34.99</v>
      </c>
      <c r="AY31" s="34" t="s">
        <v>129</v>
      </c>
      <c r="AZ31" s="34" t="s">
        <v>113</v>
      </c>
      <c r="BL31" s="34">
        <v>95</v>
      </c>
      <c r="BM31" s="34"/>
      <c r="BN31" s="34" t="s">
        <v>90</v>
      </c>
      <c r="BO31" s="35">
        <v>46143</v>
      </c>
      <c r="BP31" s="34" t="s">
        <v>100</v>
      </c>
      <c r="CI31" s="17">
        <f t="shared" si="0"/>
        <v>95</v>
      </c>
    </row>
    <row r="32" spans="1:87" ht="21">
      <c r="A32" s="6" t="s">
        <v>120</v>
      </c>
      <c r="B32" s="6">
        <v>3</v>
      </c>
      <c r="C32" s="6">
        <v>301.24</v>
      </c>
      <c r="D32" s="8" t="s">
        <v>117</v>
      </c>
      <c r="E32" s="7" t="s">
        <v>88</v>
      </c>
      <c r="G32" s="17" t="s">
        <v>118</v>
      </c>
      <c r="P32" s="34">
        <v>113.3</v>
      </c>
      <c r="Q32" s="17">
        <v>72.3</v>
      </c>
      <c r="S32" s="17" t="s">
        <v>119</v>
      </c>
      <c r="T32" s="34" t="s">
        <v>90</v>
      </c>
      <c r="U32" s="34"/>
      <c r="W32" s="35">
        <v>46170</v>
      </c>
      <c r="X32" s="35"/>
      <c r="Y32" s="17" t="s">
        <v>100</v>
      </c>
      <c r="Z32" s="34">
        <v>3</v>
      </c>
      <c r="AA32" s="34">
        <v>1</v>
      </c>
      <c r="AB32" s="34">
        <v>0.45</v>
      </c>
      <c r="AC32" s="34"/>
      <c r="AD32" s="34"/>
      <c r="AE32" s="34"/>
      <c r="AF32" s="34"/>
      <c r="AG32" s="34"/>
      <c r="AH32" s="47" t="s">
        <v>126</v>
      </c>
      <c r="AI32" s="34" t="s">
        <v>94</v>
      </c>
      <c r="AJ32" s="34">
        <v>3.5</v>
      </c>
      <c r="AK32" s="34">
        <v>2.5</v>
      </c>
      <c r="AL32" s="35">
        <v>46136</v>
      </c>
      <c r="AM32" s="34" t="s">
        <v>94</v>
      </c>
      <c r="AN32" s="34" t="s">
        <v>127</v>
      </c>
      <c r="AO32" s="34" t="s">
        <v>93</v>
      </c>
      <c r="AP32" s="34">
        <v>3.5</v>
      </c>
      <c r="AQ32" s="35">
        <v>46132</v>
      </c>
      <c r="AR32" s="34" t="s">
        <v>94</v>
      </c>
      <c r="AS32" s="34" t="s">
        <v>95</v>
      </c>
      <c r="AT32" s="34" t="s">
        <v>130</v>
      </c>
      <c r="AU32" s="34" t="s">
        <v>93</v>
      </c>
      <c r="AV32" s="34">
        <v>3.6</v>
      </c>
      <c r="AW32" s="35">
        <v>46172</v>
      </c>
      <c r="AX32" s="34">
        <v>210</v>
      </c>
      <c r="AY32" s="34" t="s">
        <v>131</v>
      </c>
      <c r="AZ32" s="34" t="s">
        <v>132</v>
      </c>
      <c r="BL32" s="34">
        <v>95</v>
      </c>
      <c r="BM32" s="34"/>
      <c r="BN32" s="34" t="s">
        <v>90</v>
      </c>
      <c r="BO32" s="35">
        <v>46143</v>
      </c>
      <c r="BP32" s="34" t="s">
        <v>100</v>
      </c>
      <c r="CI32" s="17">
        <f t="shared" si="0"/>
        <v>95</v>
      </c>
    </row>
    <row r="33" spans="1:87" ht="21">
      <c r="A33" s="6" t="s">
        <v>120</v>
      </c>
      <c r="B33" s="6">
        <v>4</v>
      </c>
      <c r="C33" s="6">
        <v>180.2</v>
      </c>
      <c r="D33" s="8" t="s">
        <v>117</v>
      </c>
      <c r="E33" s="7" t="s">
        <v>88</v>
      </c>
      <c r="G33" s="17" t="s">
        <v>118</v>
      </c>
      <c r="P33" s="34">
        <v>120.7</v>
      </c>
      <c r="Q33" s="17">
        <v>92.5</v>
      </c>
      <c r="S33" s="17" t="s">
        <v>119</v>
      </c>
      <c r="T33" s="34" t="s">
        <v>90</v>
      </c>
      <c r="U33" s="34"/>
      <c r="W33" s="35">
        <v>46170</v>
      </c>
      <c r="X33" s="35"/>
      <c r="Y33" s="17" t="s">
        <v>100</v>
      </c>
      <c r="Z33" s="34">
        <v>3</v>
      </c>
      <c r="AA33" s="34">
        <v>1</v>
      </c>
      <c r="AB33" s="34">
        <v>0.45</v>
      </c>
      <c r="AC33" s="34"/>
      <c r="AD33" s="34"/>
      <c r="AE33" s="34"/>
      <c r="AF33" s="34"/>
      <c r="AG33" s="34"/>
      <c r="AH33" s="47" t="s">
        <v>126</v>
      </c>
      <c r="AI33" s="34" t="s">
        <v>94</v>
      </c>
      <c r="AJ33" s="34">
        <v>3.5</v>
      </c>
      <c r="AK33" s="34">
        <v>2.5</v>
      </c>
      <c r="AL33" s="35">
        <v>46136</v>
      </c>
      <c r="AM33" s="34" t="s">
        <v>94</v>
      </c>
      <c r="AN33" s="34" t="s">
        <v>133</v>
      </c>
      <c r="AO33" s="34" t="s">
        <v>93</v>
      </c>
      <c r="AP33" s="34">
        <v>3.5</v>
      </c>
      <c r="AQ33" s="35">
        <v>46141</v>
      </c>
      <c r="AR33" s="34" t="s">
        <v>94</v>
      </c>
      <c r="AS33" s="34" t="s">
        <v>95</v>
      </c>
      <c r="AT33" s="34" t="s">
        <v>134</v>
      </c>
      <c r="AU33" s="34" t="s">
        <v>93</v>
      </c>
      <c r="AV33" s="34">
        <v>3.6</v>
      </c>
      <c r="AW33" s="35">
        <v>46172</v>
      </c>
      <c r="AX33" s="34">
        <v>131.5</v>
      </c>
      <c r="AY33" s="34" t="s">
        <v>135</v>
      </c>
      <c r="AZ33" s="34" t="s">
        <v>113</v>
      </c>
      <c r="BL33" s="34">
        <v>95</v>
      </c>
      <c r="BM33" s="34"/>
      <c r="BN33" s="34" t="s">
        <v>90</v>
      </c>
      <c r="BO33" s="35">
        <v>46143</v>
      </c>
      <c r="BP33" s="34" t="s">
        <v>100</v>
      </c>
      <c r="CI33" s="17">
        <f t="shared" si="0"/>
        <v>95</v>
      </c>
    </row>
    <row r="34" spans="1:87" ht="21">
      <c r="A34" s="6" t="s">
        <v>120</v>
      </c>
      <c r="B34" s="6">
        <v>5</v>
      </c>
      <c r="C34" s="6">
        <v>59.08</v>
      </c>
      <c r="D34" s="8" t="s">
        <v>121</v>
      </c>
      <c r="E34" s="7" t="s">
        <v>97</v>
      </c>
      <c r="AH34" s="18"/>
      <c r="AN34" s="34" t="s">
        <v>122</v>
      </c>
      <c r="AO34" s="34" t="s">
        <v>123</v>
      </c>
      <c r="AP34" s="34">
        <v>10</v>
      </c>
      <c r="AQ34" s="35">
        <v>46170</v>
      </c>
      <c r="AR34" s="34" t="s">
        <v>124</v>
      </c>
      <c r="AS34" s="34" t="s">
        <v>125</v>
      </c>
      <c r="CI34" s="17">
        <f t="shared" si="0"/>
        <v>0</v>
      </c>
    </row>
    <row r="35" spans="1:87" ht="21">
      <c r="A35" s="6" t="s">
        <v>120</v>
      </c>
      <c r="B35" s="6">
        <v>7</v>
      </c>
      <c r="C35" s="6">
        <v>46.79</v>
      </c>
      <c r="D35" s="8" t="s">
        <v>96</v>
      </c>
      <c r="E35" s="7" t="s">
        <v>97</v>
      </c>
      <c r="AH35" s="18"/>
      <c r="AN35" s="34" t="s">
        <v>122</v>
      </c>
      <c r="AO35" s="34" t="s">
        <v>123</v>
      </c>
      <c r="AP35" s="34">
        <v>10</v>
      </c>
      <c r="AQ35" s="35">
        <v>46134</v>
      </c>
      <c r="AR35" s="34" t="s">
        <v>124</v>
      </c>
      <c r="AS35" s="34" t="s">
        <v>136</v>
      </c>
      <c r="CI35" s="17">
        <f t="shared" si="0"/>
        <v>0</v>
      </c>
    </row>
    <row r="36" spans="1:87" ht="21">
      <c r="A36" s="6" t="s">
        <v>120</v>
      </c>
      <c r="B36" s="6">
        <v>8</v>
      </c>
      <c r="C36" s="6">
        <v>59.05</v>
      </c>
      <c r="D36" s="8" t="s">
        <v>96</v>
      </c>
      <c r="E36" s="7" t="s">
        <v>97</v>
      </c>
      <c r="AH36" s="18"/>
      <c r="AN36" s="34" t="s">
        <v>122</v>
      </c>
      <c r="AO36" s="34" t="s">
        <v>123</v>
      </c>
      <c r="AP36" s="34">
        <v>10</v>
      </c>
      <c r="AQ36" s="35">
        <v>46134</v>
      </c>
      <c r="AR36" s="34" t="s">
        <v>124</v>
      </c>
      <c r="AS36" s="34" t="s">
        <v>136</v>
      </c>
      <c r="CI36" s="17">
        <f t="shared" si="0"/>
        <v>0</v>
      </c>
    </row>
    <row r="37" spans="1:87" ht="21">
      <c r="A37" s="6" t="s">
        <v>120</v>
      </c>
      <c r="B37" s="6">
        <v>9</v>
      </c>
      <c r="C37" s="6">
        <v>103.45</v>
      </c>
      <c r="D37" s="8" t="s">
        <v>96</v>
      </c>
      <c r="E37" s="7" t="s">
        <v>97</v>
      </c>
      <c r="AH37" s="18"/>
      <c r="AN37" s="34" t="s">
        <v>122</v>
      </c>
      <c r="AO37" s="34" t="s">
        <v>123</v>
      </c>
      <c r="AP37" s="34">
        <v>10</v>
      </c>
      <c r="AQ37" s="35">
        <v>46132</v>
      </c>
      <c r="AR37" s="34" t="s">
        <v>124</v>
      </c>
      <c r="AS37" s="34" t="s">
        <v>136</v>
      </c>
      <c r="CI37" s="17">
        <f t="shared" si="0"/>
        <v>0</v>
      </c>
    </row>
    <row r="38" spans="1:87" ht="21">
      <c r="A38" s="6" t="s">
        <v>120</v>
      </c>
      <c r="B38" s="6">
        <v>10</v>
      </c>
      <c r="C38" s="6">
        <v>101.88</v>
      </c>
      <c r="D38" s="8" t="s">
        <v>117</v>
      </c>
      <c r="E38" s="7" t="s">
        <v>88</v>
      </c>
      <c r="G38" s="17" t="s">
        <v>118</v>
      </c>
      <c r="P38" s="34">
        <v>97.9</v>
      </c>
      <c r="Q38" s="17">
        <v>83.7</v>
      </c>
      <c r="S38" s="17" t="s">
        <v>119</v>
      </c>
      <c r="T38" s="34" t="s">
        <v>90</v>
      </c>
      <c r="U38" s="34"/>
      <c r="V38" s="19">
        <v>46176</v>
      </c>
      <c r="W38" s="35">
        <v>46170</v>
      </c>
      <c r="X38" s="35"/>
      <c r="Y38" s="17" t="s">
        <v>100</v>
      </c>
      <c r="Z38" s="34">
        <v>3</v>
      </c>
      <c r="AA38" s="34">
        <v>1</v>
      </c>
      <c r="AB38" s="34">
        <v>0.45</v>
      </c>
      <c r="AC38" s="34"/>
      <c r="AD38" s="34"/>
      <c r="AE38" s="34"/>
      <c r="AF38" s="34"/>
      <c r="AG38" s="34"/>
      <c r="AH38" s="47" t="s">
        <v>126</v>
      </c>
      <c r="AI38" s="34" t="s">
        <v>94</v>
      </c>
      <c r="AJ38" s="34">
        <v>3.5</v>
      </c>
      <c r="AK38" s="34">
        <v>2.5</v>
      </c>
      <c r="AL38" s="35">
        <v>46136</v>
      </c>
      <c r="AM38" s="34" t="s">
        <v>94</v>
      </c>
      <c r="AN38" s="34" t="s">
        <v>127</v>
      </c>
      <c r="AO38" s="34" t="s">
        <v>93</v>
      </c>
      <c r="AP38" s="34">
        <v>3.5</v>
      </c>
      <c r="AQ38" s="35">
        <v>46139</v>
      </c>
      <c r="AR38" s="34" t="s">
        <v>94</v>
      </c>
      <c r="AS38" s="34" t="s">
        <v>95</v>
      </c>
      <c r="AT38" s="34" t="s">
        <v>92</v>
      </c>
      <c r="AU38" s="34" t="s">
        <v>93</v>
      </c>
      <c r="AV38" s="34">
        <v>3.6</v>
      </c>
      <c r="AW38" s="35">
        <v>46171</v>
      </c>
      <c r="AX38" s="34">
        <v>101.88</v>
      </c>
      <c r="AY38" s="34" t="s">
        <v>94</v>
      </c>
      <c r="AZ38" s="34" t="s">
        <v>95</v>
      </c>
      <c r="BG38" s="34">
        <v>2</v>
      </c>
      <c r="BH38" s="35">
        <v>46174</v>
      </c>
      <c r="BI38" s="34" t="s">
        <v>124</v>
      </c>
      <c r="BL38" s="34">
        <v>95</v>
      </c>
      <c r="BM38" s="34"/>
      <c r="BN38" s="34" t="s">
        <v>90</v>
      </c>
      <c r="BO38" s="35">
        <v>46143</v>
      </c>
      <c r="BP38" s="34" t="s">
        <v>100</v>
      </c>
      <c r="CI38" s="17">
        <f t="shared" si="0"/>
        <v>95</v>
      </c>
    </row>
    <row r="39" spans="1:87" ht="21">
      <c r="A39" s="6" t="s">
        <v>120</v>
      </c>
      <c r="B39" s="6">
        <v>11</v>
      </c>
      <c r="C39" s="6">
        <v>53.38</v>
      </c>
      <c r="D39" s="8" t="s">
        <v>121</v>
      </c>
      <c r="E39" s="7" t="s">
        <v>97</v>
      </c>
      <c r="AH39" s="18"/>
      <c r="AN39" s="34" t="s">
        <v>122</v>
      </c>
      <c r="AO39" s="34" t="s">
        <v>123</v>
      </c>
      <c r="AP39" s="34">
        <v>10</v>
      </c>
      <c r="AQ39" s="35">
        <v>46170</v>
      </c>
      <c r="AR39" s="34" t="s">
        <v>124</v>
      </c>
      <c r="AS39" s="34" t="s">
        <v>125</v>
      </c>
      <c r="CI39" s="17">
        <f t="shared" si="0"/>
        <v>0</v>
      </c>
    </row>
    <row r="40" spans="1:87" ht="21">
      <c r="A40" s="6" t="s">
        <v>120</v>
      </c>
      <c r="B40" s="6">
        <v>12</v>
      </c>
      <c r="C40" s="6">
        <v>102.7</v>
      </c>
      <c r="D40" s="8" t="s">
        <v>96</v>
      </c>
      <c r="E40" s="7" t="s">
        <v>97</v>
      </c>
      <c r="AH40" s="18"/>
      <c r="AN40" s="34" t="s">
        <v>122</v>
      </c>
      <c r="AO40" s="34" t="s">
        <v>123</v>
      </c>
      <c r="AP40" s="34">
        <v>10</v>
      </c>
      <c r="AQ40" s="35">
        <v>46126</v>
      </c>
      <c r="AR40" s="34" t="s">
        <v>124</v>
      </c>
      <c r="AS40" s="34" t="s">
        <v>136</v>
      </c>
      <c r="CI40" s="17">
        <f t="shared" si="0"/>
        <v>0</v>
      </c>
    </row>
    <row r="41" spans="1:87" ht="21">
      <c r="A41" s="6" t="s">
        <v>120</v>
      </c>
      <c r="B41" s="6">
        <v>13</v>
      </c>
      <c r="C41" s="6">
        <v>87.11</v>
      </c>
      <c r="D41" s="8" t="s">
        <v>96</v>
      </c>
      <c r="E41" s="7" t="s">
        <v>97</v>
      </c>
      <c r="AH41" s="18"/>
      <c r="AN41" s="34" t="s">
        <v>122</v>
      </c>
      <c r="AO41" s="34" t="s">
        <v>123</v>
      </c>
      <c r="AP41" s="34">
        <v>10</v>
      </c>
      <c r="AQ41" s="35">
        <v>46135</v>
      </c>
      <c r="AR41" s="34" t="s">
        <v>124</v>
      </c>
      <c r="AS41" s="34" t="s">
        <v>136</v>
      </c>
      <c r="CI41" s="17">
        <f t="shared" si="0"/>
        <v>0</v>
      </c>
    </row>
    <row r="42" spans="1:87" ht="21">
      <c r="A42" s="6" t="s">
        <v>120</v>
      </c>
      <c r="B42" s="6">
        <v>14</v>
      </c>
      <c r="C42" s="6">
        <v>59.42</v>
      </c>
      <c r="D42" s="8" t="s">
        <v>96</v>
      </c>
      <c r="E42" s="7" t="s">
        <v>97</v>
      </c>
      <c r="AH42" s="18"/>
      <c r="AN42" s="34" t="s">
        <v>122</v>
      </c>
      <c r="AO42" s="34" t="s">
        <v>123</v>
      </c>
      <c r="AP42" s="34">
        <v>10</v>
      </c>
      <c r="AQ42" s="35">
        <v>46135</v>
      </c>
      <c r="AR42" s="34" t="s">
        <v>124</v>
      </c>
      <c r="AS42" s="34" t="s">
        <v>136</v>
      </c>
      <c r="CI42" s="17">
        <f t="shared" si="0"/>
        <v>0</v>
      </c>
    </row>
    <row r="43" spans="1:87" ht="21">
      <c r="A43" s="6" t="s">
        <v>120</v>
      </c>
      <c r="B43" s="6">
        <v>15</v>
      </c>
      <c r="C43" s="6">
        <v>35.96</v>
      </c>
      <c r="D43" s="8" t="s">
        <v>96</v>
      </c>
      <c r="E43" s="7" t="s">
        <v>97</v>
      </c>
      <c r="AH43" s="18"/>
      <c r="AN43" s="34" t="s">
        <v>122</v>
      </c>
      <c r="AO43" s="34" t="s">
        <v>123</v>
      </c>
      <c r="AP43" s="34">
        <v>10</v>
      </c>
      <c r="AQ43" s="35">
        <v>46136</v>
      </c>
      <c r="AR43" s="34" t="s">
        <v>124</v>
      </c>
      <c r="AS43" s="34" t="s">
        <v>136</v>
      </c>
      <c r="CI43" s="17">
        <f t="shared" si="0"/>
        <v>0</v>
      </c>
    </row>
    <row r="44" spans="1:87" ht="21">
      <c r="A44" s="6" t="s">
        <v>137</v>
      </c>
      <c r="B44" s="6" t="s">
        <v>138</v>
      </c>
      <c r="C44" s="6">
        <v>386.2</v>
      </c>
      <c r="D44" s="8" t="s">
        <v>96</v>
      </c>
      <c r="E44" s="7" t="s">
        <v>139</v>
      </c>
      <c r="G44" s="17" t="s">
        <v>118</v>
      </c>
      <c r="P44" s="34">
        <v>61.5</v>
      </c>
      <c r="Q44" s="17">
        <v>107.3</v>
      </c>
      <c r="S44" s="17" t="s">
        <v>119</v>
      </c>
      <c r="T44" s="34" t="s">
        <v>90</v>
      </c>
      <c r="U44" s="34"/>
      <c r="V44" s="19">
        <v>46176</v>
      </c>
      <c r="W44" s="35">
        <v>46172</v>
      </c>
      <c r="X44" s="35"/>
      <c r="Y44" s="17" t="s">
        <v>100</v>
      </c>
      <c r="Z44" s="34">
        <v>3</v>
      </c>
      <c r="AA44" s="34"/>
      <c r="AB44" s="34"/>
      <c r="AC44" s="34"/>
      <c r="AD44" s="34"/>
      <c r="AE44" s="34">
        <v>0.35</v>
      </c>
      <c r="AF44" s="34"/>
      <c r="AG44" s="34"/>
      <c r="AH44" s="47">
        <v>46167</v>
      </c>
      <c r="AI44" s="34" t="s">
        <v>94</v>
      </c>
      <c r="AN44" s="34" t="s">
        <v>140</v>
      </c>
      <c r="AO44" s="34" t="s">
        <v>123</v>
      </c>
      <c r="AP44" s="34">
        <v>146.93</v>
      </c>
      <c r="AQ44" s="35">
        <v>46165</v>
      </c>
      <c r="AR44" s="34" t="s">
        <v>94</v>
      </c>
      <c r="AS44" s="34" t="s">
        <v>105</v>
      </c>
      <c r="BL44" s="17">
        <v>93</v>
      </c>
      <c r="BN44" s="17" t="s">
        <v>90</v>
      </c>
      <c r="BP44" s="17" t="s">
        <v>100</v>
      </c>
      <c r="CI44" s="17">
        <f t="shared" si="0"/>
        <v>93</v>
      </c>
    </row>
    <row r="45" spans="1:87" ht="21">
      <c r="A45" s="6" t="s">
        <v>137</v>
      </c>
      <c r="B45" s="6" t="s">
        <v>141</v>
      </c>
      <c r="C45" s="6">
        <v>120</v>
      </c>
      <c r="D45" s="8" t="s">
        <v>121</v>
      </c>
      <c r="E45" s="7" t="s">
        <v>97</v>
      </c>
      <c r="AH45" s="18"/>
      <c r="AN45" s="34" t="s">
        <v>122</v>
      </c>
      <c r="AO45" s="34" t="s">
        <v>123</v>
      </c>
      <c r="AP45" s="34">
        <v>10</v>
      </c>
      <c r="AQ45" s="35">
        <v>46175</v>
      </c>
      <c r="AR45" s="34" t="s">
        <v>124</v>
      </c>
      <c r="AS45" s="34" t="s">
        <v>136</v>
      </c>
      <c r="CI45" s="17">
        <f t="shared" si="0"/>
        <v>0</v>
      </c>
    </row>
    <row r="46" spans="1:87" ht="21">
      <c r="A46" s="6" t="s">
        <v>137</v>
      </c>
      <c r="B46" s="6" t="s">
        <v>142</v>
      </c>
      <c r="C46" s="9">
        <v>163</v>
      </c>
      <c r="D46" s="8" t="s">
        <v>96</v>
      </c>
      <c r="E46" s="7" t="s">
        <v>139</v>
      </c>
      <c r="G46" s="17" t="s">
        <v>118</v>
      </c>
      <c r="P46" s="34">
        <v>93.9</v>
      </c>
      <c r="Q46" s="17">
        <v>108.1</v>
      </c>
      <c r="S46" s="17" t="s">
        <v>119</v>
      </c>
      <c r="T46" s="34" t="s">
        <v>90</v>
      </c>
      <c r="U46" s="34"/>
      <c r="V46" s="19">
        <v>46176</v>
      </c>
      <c r="W46" s="35">
        <v>46172</v>
      </c>
      <c r="X46" s="35"/>
      <c r="Y46" s="17" t="s">
        <v>100</v>
      </c>
      <c r="Z46" s="34">
        <v>3</v>
      </c>
      <c r="AA46" s="34"/>
      <c r="AB46" s="34"/>
      <c r="AC46" s="34"/>
      <c r="AD46" s="34"/>
      <c r="AE46" s="34">
        <v>0.35</v>
      </c>
      <c r="AF46" s="34"/>
      <c r="AG46" s="34"/>
      <c r="AH46" s="47">
        <v>46167</v>
      </c>
      <c r="AI46" s="34" t="s">
        <v>94</v>
      </c>
      <c r="AN46" s="34" t="s">
        <v>140</v>
      </c>
      <c r="AO46" s="34" t="s">
        <v>143</v>
      </c>
      <c r="AP46" s="34">
        <v>146.93</v>
      </c>
      <c r="AQ46" s="35">
        <v>46169</v>
      </c>
      <c r="AR46" s="34" t="s">
        <v>144</v>
      </c>
      <c r="AS46" s="34" t="s">
        <v>105</v>
      </c>
      <c r="BL46" s="17">
        <v>93</v>
      </c>
      <c r="BN46" s="17" t="s">
        <v>90</v>
      </c>
      <c r="BP46" s="17" t="s">
        <v>100</v>
      </c>
      <c r="CI46" s="17">
        <f t="shared" si="0"/>
        <v>93</v>
      </c>
    </row>
    <row r="47" spans="1:87" ht="21">
      <c r="A47" s="6" t="s">
        <v>137</v>
      </c>
      <c r="B47" s="6" t="s">
        <v>145</v>
      </c>
      <c r="C47" s="6">
        <v>189.75</v>
      </c>
      <c r="D47" s="8" t="s">
        <v>96</v>
      </c>
      <c r="E47" s="7" t="s">
        <v>139</v>
      </c>
      <c r="G47" s="17" t="s">
        <v>118</v>
      </c>
      <c r="P47" s="34">
        <v>78.8</v>
      </c>
      <c r="Q47" s="17">
        <v>110.8</v>
      </c>
      <c r="S47" s="17" t="s">
        <v>119</v>
      </c>
      <c r="T47" s="34" t="s">
        <v>90</v>
      </c>
      <c r="U47" s="34"/>
      <c r="V47" s="19">
        <v>46175</v>
      </c>
      <c r="W47" s="35">
        <v>46172</v>
      </c>
      <c r="X47" s="35"/>
      <c r="Y47" s="17" t="s">
        <v>100</v>
      </c>
      <c r="Z47" s="34">
        <v>3</v>
      </c>
      <c r="AA47" s="34"/>
      <c r="AB47" s="34"/>
      <c r="AC47" s="34"/>
      <c r="AD47" s="34"/>
      <c r="AE47" s="34">
        <v>0.35</v>
      </c>
      <c r="AF47" s="34"/>
      <c r="AG47" s="34"/>
      <c r="AH47" s="47">
        <v>46167</v>
      </c>
      <c r="AI47" s="34" t="s">
        <v>94</v>
      </c>
      <c r="AN47" s="34" t="s">
        <v>140</v>
      </c>
      <c r="AO47" s="34" t="s">
        <v>123</v>
      </c>
      <c r="AP47" s="34">
        <v>146.93</v>
      </c>
      <c r="AQ47" s="35">
        <v>46162</v>
      </c>
      <c r="AR47" s="34" t="s">
        <v>94</v>
      </c>
      <c r="AS47" s="34" t="s">
        <v>105</v>
      </c>
      <c r="BL47" s="17">
        <v>93</v>
      </c>
      <c r="BN47" s="17" t="s">
        <v>90</v>
      </c>
      <c r="BP47" s="17" t="s">
        <v>100</v>
      </c>
      <c r="CI47" s="17">
        <f t="shared" si="0"/>
        <v>93</v>
      </c>
    </row>
    <row r="48" spans="1:87" ht="21">
      <c r="A48" s="6" t="s">
        <v>137</v>
      </c>
      <c r="B48" s="6" t="s">
        <v>146</v>
      </c>
      <c r="C48" s="6">
        <v>169.61</v>
      </c>
      <c r="D48" s="8" t="s">
        <v>96</v>
      </c>
      <c r="E48" s="7" t="s">
        <v>139</v>
      </c>
      <c r="G48" s="17" t="s">
        <v>118</v>
      </c>
      <c r="P48" s="34">
        <v>91</v>
      </c>
      <c r="Q48" s="17">
        <v>142.69999999999999</v>
      </c>
      <c r="S48" s="17" t="s">
        <v>119</v>
      </c>
      <c r="T48" s="34" t="s">
        <v>90</v>
      </c>
      <c r="U48" s="34"/>
      <c r="V48" s="19">
        <v>46176</v>
      </c>
      <c r="W48" s="35">
        <v>46172</v>
      </c>
      <c r="X48" s="35"/>
      <c r="Y48" s="17" t="s">
        <v>100</v>
      </c>
      <c r="Z48" s="34">
        <v>3</v>
      </c>
      <c r="AA48" s="34"/>
      <c r="AB48" s="34"/>
      <c r="AC48" s="34"/>
      <c r="AD48" s="34"/>
      <c r="AE48" s="34">
        <v>0.35</v>
      </c>
      <c r="AF48" s="34"/>
      <c r="AG48" s="34"/>
      <c r="AH48" s="47">
        <v>46167</v>
      </c>
      <c r="AI48" s="34" t="s">
        <v>94</v>
      </c>
      <c r="AN48" s="34" t="s">
        <v>140</v>
      </c>
      <c r="AO48" s="34" t="s">
        <v>143</v>
      </c>
      <c r="AP48" s="34">
        <v>146.93</v>
      </c>
      <c r="AQ48" s="35">
        <v>46172</v>
      </c>
      <c r="AR48" s="34" t="s">
        <v>94</v>
      </c>
      <c r="AS48" s="34" t="s">
        <v>105</v>
      </c>
      <c r="BL48" s="17">
        <v>93</v>
      </c>
      <c r="BN48" s="17" t="s">
        <v>90</v>
      </c>
      <c r="BP48" s="17" t="s">
        <v>100</v>
      </c>
      <c r="CI48" s="17">
        <f t="shared" si="0"/>
        <v>93</v>
      </c>
    </row>
    <row r="49" spans="1:87" ht="21">
      <c r="A49" s="6" t="s">
        <v>137</v>
      </c>
      <c r="B49" s="6" t="s">
        <v>147</v>
      </c>
      <c r="C49" s="6">
        <v>118.35</v>
      </c>
      <c r="D49" s="8" t="s">
        <v>96</v>
      </c>
      <c r="E49" s="7" t="s">
        <v>139</v>
      </c>
      <c r="G49" s="17" t="s">
        <v>118</v>
      </c>
      <c r="P49" s="34">
        <v>84.8</v>
      </c>
      <c r="Q49" s="17">
        <v>105.9</v>
      </c>
      <c r="S49" s="17" t="s">
        <v>119</v>
      </c>
      <c r="T49" s="34" t="s">
        <v>90</v>
      </c>
      <c r="U49" s="34"/>
      <c r="V49" s="19">
        <v>46175</v>
      </c>
      <c r="W49" s="35">
        <v>46172</v>
      </c>
      <c r="X49" s="35"/>
      <c r="Y49" s="17" t="s">
        <v>100</v>
      </c>
      <c r="Z49" s="34">
        <v>3</v>
      </c>
      <c r="AA49" s="34"/>
      <c r="AB49" s="34"/>
      <c r="AC49" s="34"/>
      <c r="AD49" s="34"/>
      <c r="AE49" s="34">
        <v>0.35</v>
      </c>
      <c r="AF49" s="34"/>
      <c r="AG49" s="34"/>
      <c r="AH49" s="47">
        <v>46167</v>
      </c>
      <c r="AI49" s="34" t="s">
        <v>94</v>
      </c>
      <c r="AN49" s="34" t="s">
        <v>148</v>
      </c>
      <c r="AO49" s="34" t="s">
        <v>123</v>
      </c>
      <c r="AP49" s="34">
        <v>120.28</v>
      </c>
      <c r="AQ49" s="35">
        <v>46166</v>
      </c>
      <c r="AR49" s="34" t="s">
        <v>144</v>
      </c>
      <c r="AS49" s="34" t="s">
        <v>105</v>
      </c>
      <c r="BL49" s="17">
        <v>93</v>
      </c>
      <c r="BN49" s="17" t="s">
        <v>90</v>
      </c>
      <c r="BP49" s="17" t="s">
        <v>100</v>
      </c>
      <c r="CI49" s="17">
        <f t="shared" si="0"/>
        <v>93</v>
      </c>
    </row>
    <row r="50" spans="1:87" ht="21">
      <c r="A50" s="6" t="s">
        <v>137</v>
      </c>
      <c r="B50" s="6" t="s">
        <v>149</v>
      </c>
      <c r="C50" s="6">
        <v>243.29</v>
      </c>
      <c r="D50" s="8" t="s">
        <v>96</v>
      </c>
      <c r="E50" s="7" t="s">
        <v>139</v>
      </c>
      <c r="G50" s="17" t="s">
        <v>118</v>
      </c>
      <c r="P50" s="34">
        <v>105.1</v>
      </c>
      <c r="Q50" s="17">
        <v>88.1</v>
      </c>
      <c r="S50" s="17" t="s">
        <v>119</v>
      </c>
      <c r="T50" s="34" t="s">
        <v>90</v>
      </c>
      <c r="U50" s="34"/>
      <c r="V50" s="19">
        <v>46174</v>
      </c>
      <c r="W50" s="35">
        <v>46172</v>
      </c>
      <c r="X50" s="35"/>
      <c r="Y50" s="17" t="s">
        <v>100</v>
      </c>
      <c r="Z50" s="34">
        <v>3</v>
      </c>
      <c r="AA50" s="34"/>
      <c r="AB50" s="34"/>
      <c r="AC50" s="34"/>
      <c r="AD50" s="34"/>
      <c r="AE50" s="34">
        <v>0.35</v>
      </c>
      <c r="AF50" s="34"/>
      <c r="AG50" s="34"/>
      <c r="AH50" s="47">
        <v>46167</v>
      </c>
      <c r="AI50" s="34" t="s">
        <v>94</v>
      </c>
      <c r="AN50" s="34" t="s">
        <v>148</v>
      </c>
      <c r="AO50" s="34" t="s">
        <v>123</v>
      </c>
      <c r="AP50" s="34">
        <v>120.28</v>
      </c>
      <c r="AQ50" s="35">
        <v>46163</v>
      </c>
      <c r="AR50" s="34" t="s">
        <v>144</v>
      </c>
      <c r="AS50" s="34" t="s">
        <v>105</v>
      </c>
      <c r="BL50" s="17">
        <v>93</v>
      </c>
      <c r="BN50" s="17" t="s">
        <v>90</v>
      </c>
      <c r="BP50" s="17" t="s">
        <v>100</v>
      </c>
      <c r="CI50" s="17">
        <f t="shared" si="0"/>
        <v>93</v>
      </c>
    </row>
    <row r="51" spans="1:87" ht="21">
      <c r="A51" s="6" t="s">
        <v>137</v>
      </c>
      <c r="B51" s="6" t="s">
        <v>150</v>
      </c>
      <c r="C51" s="6">
        <v>201.78</v>
      </c>
      <c r="D51" s="8" t="s">
        <v>96</v>
      </c>
      <c r="E51" s="7" t="s">
        <v>97</v>
      </c>
      <c r="AH51" s="18"/>
      <c r="AN51" s="34" t="s">
        <v>122</v>
      </c>
      <c r="AO51" s="34" t="s">
        <v>123</v>
      </c>
      <c r="AP51" s="34">
        <v>10</v>
      </c>
      <c r="AQ51" s="35">
        <v>46143</v>
      </c>
      <c r="AR51" s="34" t="s">
        <v>124</v>
      </c>
      <c r="AS51" s="34" t="s">
        <v>136</v>
      </c>
      <c r="CI51" s="17">
        <f t="shared" si="0"/>
        <v>0</v>
      </c>
    </row>
    <row r="52" spans="1:87" ht="21">
      <c r="A52" s="6" t="s">
        <v>137</v>
      </c>
      <c r="B52" s="6" t="s">
        <v>151</v>
      </c>
      <c r="C52" s="6">
        <v>150.52000000000001</v>
      </c>
      <c r="D52" s="8" t="s">
        <v>96</v>
      </c>
      <c r="E52" s="7" t="s">
        <v>97</v>
      </c>
      <c r="AH52" s="18"/>
      <c r="AN52" s="34" t="s">
        <v>122</v>
      </c>
      <c r="AO52" s="34" t="s">
        <v>123</v>
      </c>
      <c r="AP52" s="34">
        <v>10</v>
      </c>
      <c r="AQ52" s="35">
        <v>46143</v>
      </c>
      <c r="AR52" s="34" t="s">
        <v>124</v>
      </c>
      <c r="AS52" s="34" t="s">
        <v>136</v>
      </c>
      <c r="CI52" s="17">
        <f t="shared" si="0"/>
        <v>0</v>
      </c>
    </row>
    <row r="53" spans="1:87" ht="21">
      <c r="A53" s="6" t="s">
        <v>137</v>
      </c>
      <c r="B53" s="6" t="s">
        <v>152</v>
      </c>
      <c r="C53" s="6">
        <v>225.15</v>
      </c>
      <c r="D53" s="8" t="s">
        <v>96</v>
      </c>
      <c r="E53" s="7" t="s">
        <v>97</v>
      </c>
      <c r="AH53" s="18"/>
      <c r="AN53" s="34" t="s">
        <v>122</v>
      </c>
      <c r="AO53" s="34" t="s">
        <v>123</v>
      </c>
      <c r="AP53" s="34">
        <v>10</v>
      </c>
      <c r="AQ53" s="35">
        <v>46143</v>
      </c>
      <c r="AR53" s="34" t="s">
        <v>124</v>
      </c>
      <c r="AS53" s="34" t="s">
        <v>136</v>
      </c>
      <c r="CI53" s="17">
        <f t="shared" si="0"/>
        <v>0</v>
      </c>
    </row>
    <row r="54" spans="1:87">
      <c r="AH54" s="18"/>
    </row>
    <row r="55" spans="1:87">
      <c r="AH55" s="18"/>
    </row>
    <row r="56" spans="1:87">
      <c r="AH56" s="18"/>
    </row>
    <row r="57" spans="1:87">
      <c r="AH57" s="18"/>
    </row>
    <row r="58" spans="1:87">
      <c r="AH58" s="18"/>
    </row>
    <row r="59" spans="1:87">
      <c r="AH59" s="18"/>
    </row>
    <row r="60" spans="1:87">
      <c r="AH60" s="18"/>
    </row>
    <row r="61" spans="1:87">
      <c r="AH61" s="18"/>
    </row>
    <row r="62" spans="1:87">
      <c r="AH62" s="18"/>
    </row>
    <row r="63" spans="1:87">
      <c r="AH63" s="18"/>
    </row>
    <row r="64" spans="1:87">
      <c r="AH64" s="18"/>
    </row>
    <row r="65" spans="34:34">
      <c r="AH65" s="18"/>
    </row>
    <row r="66" spans="34:34">
      <c r="AH66" s="18"/>
    </row>
    <row r="67" spans="34:34">
      <c r="AH67" s="18"/>
    </row>
    <row r="68" spans="34:34">
      <c r="AH68" s="18"/>
    </row>
    <row r="69" spans="34:34">
      <c r="AH69" s="18"/>
    </row>
    <row r="70" spans="34:34">
      <c r="AH70" s="18"/>
    </row>
    <row r="71" spans="34:34">
      <c r="AH71" s="18"/>
    </row>
    <row r="72" spans="34:34">
      <c r="AH72" s="18"/>
    </row>
    <row r="73" spans="34:34">
      <c r="AH73" s="18"/>
    </row>
    <row r="74" spans="34:34">
      <c r="AH74" s="18"/>
    </row>
    <row r="75" spans="34:34">
      <c r="AH75" s="18"/>
    </row>
    <row r="76" spans="34:34">
      <c r="AH76" s="18"/>
    </row>
    <row r="77" spans="34:34">
      <c r="AH77" s="18"/>
    </row>
    <row r="78" spans="34:34">
      <c r="AH78" s="18"/>
    </row>
    <row r="79" spans="34:34">
      <c r="AH79" s="18"/>
    </row>
    <row r="80" spans="34:34">
      <c r="AH80" s="18"/>
    </row>
    <row r="81" spans="34:34">
      <c r="AH81" s="18"/>
    </row>
    <row r="82" spans="34:34">
      <c r="AH82" s="18"/>
    </row>
    <row r="83" spans="34:34">
      <c r="AH83" s="18"/>
    </row>
    <row r="84" spans="34:34">
      <c r="AH84" s="18"/>
    </row>
    <row r="85" spans="34:34">
      <c r="AH85" s="18"/>
    </row>
    <row r="86" spans="34:34">
      <c r="AH86" s="18"/>
    </row>
    <row r="87" spans="34:34">
      <c r="AH87" s="18"/>
    </row>
    <row r="88" spans="34:34">
      <c r="AH88" s="18"/>
    </row>
    <row r="89" spans="34:34">
      <c r="AH89" s="18"/>
    </row>
    <row r="90" spans="34:34">
      <c r="AH90" s="18"/>
    </row>
    <row r="91" spans="34:34">
      <c r="AH91" s="18"/>
    </row>
    <row r="92" spans="34:34">
      <c r="AH92" s="18"/>
    </row>
    <row r="93" spans="34:34">
      <c r="AH93" s="18"/>
    </row>
    <row r="94" spans="34:34">
      <c r="AH94" s="18"/>
    </row>
    <row r="95" spans="34:34">
      <c r="AH95" s="18"/>
    </row>
    <row r="96" spans="34:34">
      <c r="AH96" s="18"/>
    </row>
    <row r="97" spans="34:34">
      <c r="AH97" s="18"/>
    </row>
    <row r="98" spans="34:34">
      <c r="AH98" s="18"/>
    </row>
    <row r="99" spans="34:34">
      <c r="AH99" s="18"/>
    </row>
    <row r="100" spans="34:34">
      <c r="AH100" s="18"/>
    </row>
    <row r="101" spans="34:34">
      <c r="AH101" s="18"/>
    </row>
    <row r="102" spans="34:34">
      <c r="AH102" s="18"/>
    </row>
    <row r="103" spans="34:34">
      <c r="AH103" s="18"/>
    </row>
    <row r="104" spans="34:34">
      <c r="AH104" s="18"/>
    </row>
  </sheetData>
  <autoFilter ref="A2:AI53" xr:uid="{00000000-0001-0000-0000-000000000000}"/>
  <mergeCells count="20">
    <mergeCell ref="F1:N1"/>
    <mergeCell ref="O1:Y1"/>
    <mergeCell ref="Z1:AI1"/>
    <mergeCell ref="AN1:AS1"/>
    <mergeCell ref="AT1:AZ1"/>
    <mergeCell ref="AJ1:AM1"/>
    <mergeCell ref="BA1:BF1"/>
    <mergeCell ref="BJ1:BK1"/>
    <mergeCell ref="BL1:BP1"/>
    <mergeCell ref="BQ1:BV1"/>
    <mergeCell ref="BW1:CB1"/>
    <mergeCell ref="BG1:BI1"/>
    <mergeCell ref="DF1:DH1"/>
    <mergeCell ref="DI1:DK1"/>
    <mergeCell ref="DL1:DO1"/>
    <mergeCell ref="CC1:CH1"/>
    <mergeCell ref="CJ1:CL1"/>
    <mergeCell ref="CM1:CQ1"/>
    <mergeCell ref="CR1:DB1"/>
    <mergeCell ref="DC1:D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5D919-FE15-4609-BAFC-CE592C260F0A}">
  <dimension ref="A1:E53"/>
  <sheetViews>
    <sheetView topLeftCell="A45" workbookViewId="0">
      <selection activeCell="E4" sqref="E4:E53"/>
    </sheetView>
  </sheetViews>
  <sheetFormatPr defaultRowHeight="15"/>
  <cols>
    <col min="1" max="1" width="19.28515625" bestFit="1" customWidth="1"/>
    <col min="2" max="2" width="18.140625" bestFit="1" customWidth="1"/>
    <col min="3" max="3" width="10.85546875" bestFit="1" customWidth="1"/>
    <col min="4" max="4" width="23.140625" bestFit="1" customWidth="1"/>
    <col min="5" max="5" width="17.28515625" bestFit="1" customWidth="1"/>
  </cols>
  <sheetData>
    <row r="1" spans="1:5" ht="21">
      <c r="A1" s="1"/>
      <c r="B1" s="2"/>
      <c r="C1" s="3"/>
      <c r="D1" s="4"/>
      <c r="E1" s="17"/>
    </row>
    <row r="2" spans="1:5" ht="20.25">
      <c r="A2" s="5" t="s">
        <v>20</v>
      </c>
      <c r="B2" s="5" t="s">
        <v>21</v>
      </c>
      <c r="C2" s="5" t="s">
        <v>22</v>
      </c>
      <c r="D2" s="5" t="s">
        <v>153</v>
      </c>
      <c r="E2" s="5" t="s">
        <v>154</v>
      </c>
    </row>
    <row r="3" spans="1:5" ht="21">
      <c r="A3" s="6" t="s">
        <v>86</v>
      </c>
      <c r="B3" s="6">
        <v>1</v>
      </c>
      <c r="C3" s="6">
        <v>203.49</v>
      </c>
      <c r="D3" s="84" t="s">
        <v>88</v>
      </c>
      <c r="E3" s="6" t="s">
        <v>96</v>
      </c>
    </row>
    <row r="4" spans="1:5" ht="21">
      <c r="A4" s="6" t="s">
        <v>86</v>
      </c>
      <c r="B4" s="6">
        <v>2</v>
      </c>
      <c r="C4" s="6">
        <v>215</v>
      </c>
      <c r="D4" s="84" t="s">
        <v>97</v>
      </c>
      <c r="E4" s="6" t="s">
        <v>87</v>
      </c>
    </row>
    <row r="5" spans="1:5" ht="21">
      <c r="A5" s="6" t="s">
        <v>86</v>
      </c>
      <c r="B5" s="6">
        <v>3</v>
      </c>
      <c r="C5" s="6">
        <v>46.12</v>
      </c>
      <c r="D5" s="84" t="s">
        <v>97</v>
      </c>
      <c r="E5" s="6" t="s">
        <v>87</v>
      </c>
    </row>
    <row r="6" spans="1:5" ht="21">
      <c r="A6" s="6" t="s">
        <v>86</v>
      </c>
      <c r="B6" s="6">
        <v>7</v>
      </c>
      <c r="C6" s="6">
        <v>24.03</v>
      </c>
      <c r="D6" s="84" t="s">
        <v>97</v>
      </c>
      <c r="E6" s="6" t="s">
        <v>87</v>
      </c>
    </row>
    <row r="7" spans="1:5" ht="21">
      <c r="A7" s="6" t="s">
        <v>86</v>
      </c>
      <c r="B7" s="6">
        <v>8</v>
      </c>
      <c r="C7" s="6">
        <v>22.55</v>
      </c>
      <c r="D7" s="84" t="s">
        <v>97</v>
      </c>
      <c r="E7" s="6" t="s">
        <v>87</v>
      </c>
    </row>
    <row r="8" spans="1:5" ht="21">
      <c r="A8" s="6" t="s">
        <v>86</v>
      </c>
      <c r="B8" s="6">
        <v>9</v>
      </c>
      <c r="C8" s="6">
        <v>62.73</v>
      </c>
      <c r="D8" s="84" t="s">
        <v>97</v>
      </c>
      <c r="E8" s="6" t="s">
        <v>87</v>
      </c>
    </row>
    <row r="9" spans="1:5" ht="21">
      <c r="A9" s="6" t="s">
        <v>86</v>
      </c>
      <c r="B9" s="6">
        <v>10</v>
      </c>
      <c r="C9" s="6">
        <v>29.7</v>
      </c>
      <c r="D9" s="84" t="s">
        <v>97</v>
      </c>
      <c r="E9" s="6" t="s">
        <v>87</v>
      </c>
    </row>
    <row r="10" spans="1:5" ht="21">
      <c r="A10" s="6" t="s">
        <v>86</v>
      </c>
      <c r="B10" s="6">
        <v>11</v>
      </c>
      <c r="C10" s="6">
        <v>270.44</v>
      </c>
      <c r="D10" s="84" t="s">
        <v>97</v>
      </c>
      <c r="E10" s="6" t="s">
        <v>87</v>
      </c>
    </row>
    <row r="11" spans="1:5" ht="21">
      <c r="A11" s="6" t="s">
        <v>86</v>
      </c>
      <c r="B11" s="6">
        <v>12</v>
      </c>
      <c r="C11" s="6">
        <v>64.25</v>
      </c>
      <c r="D11" s="84" t="s">
        <v>97</v>
      </c>
      <c r="E11" s="6" t="s">
        <v>87</v>
      </c>
    </row>
    <row r="12" spans="1:5" ht="21">
      <c r="A12" s="6" t="s">
        <v>86</v>
      </c>
      <c r="B12" s="6">
        <v>13</v>
      </c>
      <c r="C12" s="6">
        <v>29.89</v>
      </c>
      <c r="D12" s="84" t="s">
        <v>97</v>
      </c>
      <c r="E12" s="6" t="s">
        <v>87</v>
      </c>
    </row>
    <row r="13" spans="1:5" ht="21">
      <c r="A13" s="6" t="s">
        <v>102</v>
      </c>
      <c r="B13" s="6">
        <v>6</v>
      </c>
      <c r="C13" s="6">
        <v>52.63</v>
      </c>
      <c r="D13" s="84" t="s">
        <v>97</v>
      </c>
      <c r="E13" s="6" t="s">
        <v>87</v>
      </c>
    </row>
    <row r="14" spans="1:5" ht="21">
      <c r="A14" s="6" t="s">
        <v>102</v>
      </c>
      <c r="B14" s="6">
        <v>7</v>
      </c>
      <c r="C14" s="6">
        <v>60.61</v>
      </c>
      <c r="D14" s="84" t="s">
        <v>103</v>
      </c>
      <c r="E14" s="6" t="s">
        <v>96</v>
      </c>
    </row>
    <row r="15" spans="1:5" ht="21">
      <c r="A15" s="6" t="s">
        <v>102</v>
      </c>
      <c r="B15" s="6">
        <v>11</v>
      </c>
      <c r="C15" s="6">
        <v>56.69</v>
      </c>
      <c r="D15" s="84" t="s">
        <v>103</v>
      </c>
      <c r="E15" s="6" t="s">
        <v>96</v>
      </c>
    </row>
    <row r="16" spans="1:5" ht="21">
      <c r="A16" s="6" t="s">
        <v>102</v>
      </c>
      <c r="B16" s="6">
        <v>12</v>
      </c>
      <c r="C16" s="6">
        <v>49.78</v>
      </c>
      <c r="D16" s="84" t="s">
        <v>103</v>
      </c>
      <c r="E16" s="6" t="s">
        <v>96</v>
      </c>
    </row>
    <row r="17" spans="1:5" ht="21">
      <c r="A17" s="6" t="s">
        <v>102</v>
      </c>
      <c r="B17" s="6">
        <v>13</v>
      </c>
      <c r="C17" s="6">
        <v>26.67</v>
      </c>
      <c r="D17" s="84" t="s">
        <v>103</v>
      </c>
      <c r="E17" s="6" t="s">
        <v>96</v>
      </c>
    </row>
    <row r="18" spans="1:5" ht="21">
      <c r="A18" s="6" t="s">
        <v>102</v>
      </c>
      <c r="B18" s="6">
        <v>14</v>
      </c>
      <c r="C18" s="6">
        <v>33.96</v>
      </c>
      <c r="D18" s="84" t="s">
        <v>103</v>
      </c>
      <c r="E18" s="6" t="s">
        <v>96</v>
      </c>
    </row>
    <row r="19" spans="1:5" ht="21">
      <c r="A19" s="6" t="s">
        <v>102</v>
      </c>
      <c r="B19" s="6">
        <v>16</v>
      </c>
      <c r="C19" s="6">
        <v>91.46</v>
      </c>
      <c r="D19" s="84" t="s">
        <v>103</v>
      </c>
      <c r="E19" s="6" t="s">
        <v>96</v>
      </c>
    </row>
    <row r="20" spans="1:5" ht="21">
      <c r="A20" s="6" t="s">
        <v>111</v>
      </c>
      <c r="B20" s="6">
        <v>1</v>
      </c>
      <c r="C20" s="6">
        <v>58.59</v>
      </c>
      <c r="D20" s="84" t="s">
        <v>88</v>
      </c>
      <c r="E20" s="6" t="s">
        <v>96</v>
      </c>
    </row>
    <row r="21" spans="1:5" ht="21">
      <c r="A21" s="6" t="s">
        <v>111</v>
      </c>
      <c r="B21" s="6">
        <v>2</v>
      </c>
      <c r="C21" s="6">
        <v>40.99</v>
      </c>
      <c r="D21" s="84" t="s">
        <v>88</v>
      </c>
      <c r="E21" s="6" t="s">
        <v>96</v>
      </c>
    </row>
    <row r="22" spans="1:5" ht="21">
      <c r="A22" s="6" t="s">
        <v>111</v>
      </c>
      <c r="B22" s="6">
        <v>3</v>
      </c>
      <c r="C22" s="6">
        <v>63.11</v>
      </c>
      <c r="D22" s="84" t="s">
        <v>88</v>
      </c>
      <c r="E22" s="6" t="s">
        <v>96</v>
      </c>
    </row>
    <row r="23" spans="1:5" ht="21">
      <c r="A23" s="6" t="s">
        <v>111</v>
      </c>
      <c r="B23" s="6">
        <v>4</v>
      </c>
      <c r="C23" s="6">
        <v>71.48</v>
      </c>
      <c r="D23" s="84" t="s">
        <v>88</v>
      </c>
      <c r="E23" s="6" t="s">
        <v>96</v>
      </c>
    </row>
    <row r="24" spans="1:5" ht="21">
      <c r="A24" s="6" t="s">
        <v>111</v>
      </c>
      <c r="B24" s="6">
        <v>5</v>
      </c>
      <c r="C24" s="6">
        <v>67.739999999999995</v>
      </c>
      <c r="D24" s="84" t="s">
        <v>97</v>
      </c>
      <c r="E24" s="6" t="s">
        <v>87</v>
      </c>
    </row>
    <row r="25" spans="1:5" ht="21">
      <c r="A25" s="6" t="s">
        <v>111</v>
      </c>
      <c r="B25" s="6">
        <v>6</v>
      </c>
      <c r="C25" s="6">
        <v>24.52</v>
      </c>
      <c r="D25" s="84" t="s">
        <v>97</v>
      </c>
      <c r="E25" s="6" t="s">
        <v>87</v>
      </c>
    </row>
    <row r="26" spans="1:5" ht="21">
      <c r="A26" s="6" t="s">
        <v>111</v>
      </c>
      <c r="B26" s="6">
        <v>11</v>
      </c>
      <c r="C26" s="6">
        <v>31</v>
      </c>
      <c r="D26" s="84" t="s">
        <v>88</v>
      </c>
      <c r="E26" s="6" t="s">
        <v>96</v>
      </c>
    </row>
    <row r="27" spans="1:5" ht="21">
      <c r="A27" s="6" t="s">
        <v>111</v>
      </c>
      <c r="B27" s="6">
        <v>12</v>
      </c>
      <c r="C27" s="6">
        <v>67</v>
      </c>
      <c r="D27" s="84" t="s">
        <v>97</v>
      </c>
      <c r="E27" s="6" t="s">
        <v>87</v>
      </c>
    </row>
    <row r="28" spans="1:5" ht="21">
      <c r="A28" s="6" t="s">
        <v>116</v>
      </c>
      <c r="B28" s="6">
        <v>1</v>
      </c>
      <c r="C28" s="6">
        <v>138.88</v>
      </c>
      <c r="D28" s="84" t="s">
        <v>88</v>
      </c>
      <c r="E28" s="6" t="s">
        <v>96</v>
      </c>
    </row>
    <row r="29" spans="1:5" ht="21">
      <c r="A29" s="6" t="s">
        <v>116</v>
      </c>
      <c r="B29" s="6">
        <v>2</v>
      </c>
      <c r="C29" s="6">
        <v>141.69999999999999</v>
      </c>
      <c r="D29" s="84" t="s">
        <v>97</v>
      </c>
      <c r="E29" s="6" t="s">
        <v>117</v>
      </c>
    </row>
    <row r="30" spans="1:5" ht="21">
      <c r="A30" s="6" t="s">
        <v>120</v>
      </c>
      <c r="B30" s="6">
        <v>1</v>
      </c>
      <c r="C30" s="6">
        <v>101.74</v>
      </c>
      <c r="D30" s="84" t="s">
        <v>97</v>
      </c>
      <c r="E30" s="6" t="s">
        <v>87</v>
      </c>
    </row>
    <row r="31" spans="1:5" ht="21">
      <c r="A31" s="6" t="s">
        <v>120</v>
      </c>
      <c r="B31" s="6">
        <v>2</v>
      </c>
      <c r="C31" s="6">
        <v>34.99</v>
      </c>
      <c r="D31" s="84" t="s">
        <v>88</v>
      </c>
      <c r="E31" s="6" t="s">
        <v>96</v>
      </c>
    </row>
    <row r="32" spans="1:5" ht="21">
      <c r="A32" s="6" t="s">
        <v>120</v>
      </c>
      <c r="B32" s="6">
        <v>3</v>
      </c>
      <c r="C32" s="6">
        <v>301.24</v>
      </c>
      <c r="D32" s="84" t="s">
        <v>88</v>
      </c>
      <c r="E32" s="6" t="s">
        <v>96</v>
      </c>
    </row>
    <row r="33" spans="1:5" ht="21">
      <c r="A33" s="6" t="s">
        <v>120</v>
      </c>
      <c r="B33" s="6">
        <v>4</v>
      </c>
      <c r="C33" s="6">
        <v>180.2</v>
      </c>
      <c r="D33" s="84" t="s">
        <v>88</v>
      </c>
      <c r="E33" s="6" t="s">
        <v>96</v>
      </c>
    </row>
    <row r="34" spans="1:5" ht="21">
      <c r="A34" s="6" t="s">
        <v>120</v>
      </c>
      <c r="B34" s="6">
        <v>5</v>
      </c>
      <c r="C34" s="6">
        <v>59.08</v>
      </c>
      <c r="D34" s="84" t="s">
        <v>97</v>
      </c>
      <c r="E34" s="6" t="s">
        <v>87</v>
      </c>
    </row>
    <row r="35" spans="1:5" ht="21">
      <c r="A35" s="6" t="s">
        <v>120</v>
      </c>
      <c r="B35" s="6">
        <v>7</v>
      </c>
      <c r="C35" s="6">
        <v>46.79</v>
      </c>
      <c r="D35" s="84" t="s">
        <v>97</v>
      </c>
      <c r="E35" s="6" t="s">
        <v>87</v>
      </c>
    </row>
    <row r="36" spans="1:5" ht="21">
      <c r="A36" s="6" t="s">
        <v>120</v>
      </c>
      <c r="B36" s="6">
        <v>8</v>
      </c>
      <c r="C36" s="6">
        <v>59.05</v>
      </c>
      <c r="D36" s="84" t="s">
        <v>97</v>
      </c>
      <c r="E36" s="6" t="s">
        <v>87</v>
      </c>
    </row>
    <row r="37" spans="1:5" ht="21">
      <c r="A37" s="6" t="s">
        <v>120</v>
      </c>
      <c r="B37" s="6">
        <v>9</v>
      </c>
      <c r="C37" s="6">
        <v>103.45</v>
      </c>
      <c r="D37" s="84" t="s">
        <v>97</v>
      </c>
      <c r="E37" s="6" t="s">
        <v>117</v>
      </c>
    </row>
    <row r="38" spans="1:5" ht="21">
      <c r="A38" s="6" t="s">
        <v>120</v>
      </c>
      <c r="B38" s="6">
        <v>10</v>
      </c>
      <c r="C38" s="6">
        <v>101.88</v>
      </c>
      <c r="D38" s="84" t="s">
        <v>88</v>
      </c>
      <c r="E38" s="6" t="s">
        <v>96</v>
      </c>
    </row>
    <row r="39" spans="1:5" ht="21">
      <c r="A39" s="6" t="s">
        <v>120</v>
      </c>
      <c r="B39" s="6">
        <v>11</v>
      </c>
      <c r="C39" s="6">
        <v>53.38</v>
      </c>
      <c r="D39" s="84" t="s">
        <v>97</v>
      </c>
      <c r="E39" s="6" t="s">
        <v>87</v>
      </c>
    </row>
    <row r="40" spans="1:5" ht="21">
      <c r="A40" s="6" t="s">
        <v>120</v>
      </c>
      <c r="B40" s="6">
        <v>12</v>
      </c>
      <c r="C40" s="6">
        <v>102.7</v>
      </c>
      <c r="D40" s="84" t="s">
        <v>97</v>
      </c>
      <c r="E40" s="6" t="s">
        <v>117</v>
      </c>
    </row>
    <row r="41" spans="1:5" ht="21">
      <c r="A41" s="6" t="s">
        <v>120</v>
      </c>
      <c r="B41" s="6">
        <v>13</v>
      </c>
      <c r="C41" s="6">
        <v>87.11</v>
      </c>
      <c r="D41" s="84" t="s">
        <v>97</v>
      </c>
      <c r="E41" s="6" t="s">
        <v>117</v>
      </c>
    </row>
    <row r="42" spans="1:5" ht="21">
      <c r="A42" s="6" t="s">
        <v>120</v>
      </c>
      <c r="B42" s="6">
        <v>14</v>
      </c>
      <c r="C42" s="6">
        <v>59.42</v>
      </c>
      <c r="D42" s="84" t="s">
        <v>97</v>
      </c>
      <c r="E42" s="6" t="s">
        <v>87</v>
      </c>
    </row>
    <row r="43" spans="1:5" ht="21">
      <c r="A43" s="6" t="s">
        <v>120</v>
      </c>
      <c r="B43" s="6">
        <v>15</v>
      </c>
      <c r="C43" s="6">
        <v>35.96</v>
      </c>
      <c r="D43" s="84" t="s">
        <v>97</v>
      </c>
      <c r="E43" s="6" t="s">
        <v>87</v>
      </c>
    </row>
    <row r="44" spans="1:5" ht="21">
      <c r="A44" s="6" t="s">
        <v>137</v>
      </c>
      <c r="B44" s="6" t="s">
        <v>138</v>
      </c>
      <c r="C44" s="6">
        <v>386.2</v>
      </c>
      <c r="D44" s="84" t="s">
        <v>139</v>
      </c>
      <c r="E44" s="6" t="s">
        <v>121</v>
      </c>
    </row>
    <row r="45" spans="1:5" ht="21">
      <c r="A45" s="6" t="s">
        <v>137</v>
      </c>
      <c r="B45" s="6" t="s">
        <v>141</v>
      </c>
      <c r="C45" s="6">
        <v>120</v>
      </c>
      <c r="D45" s="84" t="s">
        <v>97</v>
      </c>
      <c r="E45" s="6" t="s">
        <v>87</v>
      </c>
    </row>
    <row r="46" spans="1:5" ht="21">
      <c r="A46" s="6" t="s">
        <v>137</v>
      </c>
      <c r="B46" s="6" t="s">
        <v>142</v>
      </c>
      <c r="C46" s="9">
        <v>163</v>
      </c>
      <c r="D46" s="84" t="s">
        <v>139</v>
      </c>
      <c r="E46" s="6" t="s">
        <v>96</v>
      </c>
    </row>
    <row r="47" spans="1:5" ht="21">
      <c r="A47" s="6" t="s">
        <v>137</v>
      </c>
      <c r="B47" s="6" t="s">
        <v>145</v>
      </c>
      <c r="C47" s="6">
        <v>189.75</v>
      </c>
      <c r="D47" s="84" t="s">
        <v>139</v>
      </c>
      <c r="E47" s="6" t="s">
        <v>96</v>
      </c>
    </row>
    <row r="48" spans="1:5" ht="21">
      <c r="A48" s="6" t="s">
        <v>137</v>
      </c>
      <c r="B48" s="6" t="s">
        <v>146</v>
      </c>
      <c r="C48" s="6">
        <v>169.61</v>
      </c>
      <c r="D48" s="84" t="s">
        <v>139</v>
      </c>
      <c r="E48" s="6" t="s">
        <v>96</v>
      </c>
    </row>
    <row r="49" spans="1:5" ht="21">
      <c r="A49" s="6" t="s">
        <v>137</v>
      </c>
      <c r="B49" s="6" t="s">
        <v>147</v>
      </c>
      <c r="C49" s="6">
        <v>118.35</v>
      </c>
      <c r="D49" s="84" t="s">
        <v>139</v>
      </c>
      <c r="E49" s="6" t="s">
        <v>121</v>
      </c>
    </row>
    <row r="50" spans="1:5" ht="21">
      <c r="A50" s="6" t="s">
        <v>137</v>
      </c>
      <c r="B50" s="6" t="s">
        <v>149</v>
      </c>
      <c r="C50" s="6">
        <v>243.29</v>
      </c>
      <c r="D50" s="84" t="s">
        <v>139</v>
      </c>
      <c r="E50" s="6" t="s">
        <v>96</v>
      </c>
    </row>
    <row r="51" spans="1:5" ht="21">
      <c r="A51" s="6" t="s">
        <v>137</v>
      </c>
      <c r="B51" s="6" t="s">
        <v>150</v>
      </c>
      <c r="C51" s="6">
        <v>201.78</v>
      </c>
      <c r="D51" s="84" t="s">
        <v>97</v>
      </c>
      <c r="E51" s="6" t="s">
        <v>117</v>
      </c>
    </row>
    <row r="52" spans="1:5" ht="21">
      <c r="A52" s="6" t="s">
        <v>137</v>
      </c>
      <c r="B52" s="6" t="s">
        <v>151</v>
      </c>
      <c r="C52" s="6">
        <v>150.52000000000001</v>
      </c>
      <c r="D52" s="84" t="s">
        <v>97</v>
      </c>
      <c r="E52" s="6" t="s">
        <v>117</v>
      </c>
    </row>
    <row r="53" spans="1:5" ht="21">
      <c r="A53" s="6" t="s">
        <v>137</v>
      </c>
      <c r="B53" s="6" t="s">
        <v>152</v>
      </c>
      <c r="C53" s="6">
        <v>225.15</v>
      </c>
      <c r="D53" s="84" t="s">
        <v>97</v>
      </c>
      <c r="E53" s="6" t="s">
        <v>117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069D-6E41-4381-B3ED-F63518FBA9EA}">
  <dimension ref="A1:AX7"/>
  <sheetViews>
    <sheetView workbookViewId="0">
      <selection activeCell="AO11" sqref="AO11"/>
    </sheetView>
  </sheetViews>
  <sheetFormatPr defaultRowHeight="15"/>
  <cols>
    <col min="1" max="1" width="14.28515625" customWidth="1"/>
    <col min="2" max="38" width="0" hidden="1" customWidth="1"/>
  </cols>
  <sheetData>
    <row r="1" spans="1:50">
      <c r="A1" s="37"/>
      <c r="B1" s="37">
        <v>2022</v>
      </c>
      <c r="C1" s="80">
        <v>2023</v>
      </c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0">
        <v>2024</v>
      </c>
      <c r="P1" s="81"/>
      <c r="Q1" s="81"/>
      <c r="R1" s="81"/>
      <c r="S1" s="81"/>
      <c r="T1" s="81"/>
      <c r="U1" s="81"/>
      <c r="V1" s="81"/>
      <c r="W1" s="81"/>
      <c r="X1" s="81"/>
      <c r="Y1" s="81"/>
      <c r="Z1" s="82"/>
      <c r="AA1" s="81">
        <v>2025</v>
      </c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3">
        <v>2026</v>
      </c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</row>
    <row r="2" spans="1:50">
      <c r="A2" s="37" t="s">
        <v>20</v>
      </c>
      <c r="B2" s="37" t="s">
        <v>155</v>
      </c>
      <c r="C2" s="38" t="s">
        <v>156</v>
      </c>
      <c r="D2" s="37" t="s">
        <v>157</v>
      </c>
      <c r="E2" s="37" t="s">
        <v>158</v>
      </c>
      <c r="F2" s="37" t="s">
        <v>159</v>
      </c>
      <c r="G2" s="37" t="s">
        <v>160</v>
      </c>
      <c r="H2" s="37" t="s">
        <v>161</v>
      </c>
      <c r="I2" s="37" t="s">
        <v>162</v>
      </c>
      <c r="J2" s="37" t="s">
        <v>163</v>
      </c>
      <c r="K2" s="37" t="s">
        <v>164</v>
      </c>
      <c r="L2" s="37" t="s">
        <v>165</v>
      </c>
      <c r="M2" s="37" t="s">
        <v>166</v>
      </c>
      <c r="N2" s="37" t="s">
        <v>155</v>
      </c>
      <c r="O2" s="38" t="s">
        <v>156</v>
      </c>
      <c r="P2" s="37" t="s">
        <v>157</v>
      </c>
      <c r="Q2" s="37" t="s">
        <v>158</v>
      </c>
      <c r="R2" s="37" t="s">
        <v>159</v>
      </c>
      <c r="S2" s="37" t="s">
        <v>160</v>
      </c>
      <c r="T2" s="37" t="s">
        <v>161</v>
      </c>
      <c r="U2" s="37" t="s">
        <v>162</v>
      </c>
      <c r="V2" s="37" t="s">
        <v>163</v>
      </c>
      <c r="W2" s="37" t="s">
        <v>164</v>
      </c>
      <c r="X2" s="37" t="s">
        <v>165</v>
      </c>
      <c r="Y2" s="37" t="s">
        <v>166</v>
      </c>
      <c r="Z2" s="39" t="s">
        <v>155</v>
      </c>
      <c r="AA2" s="37" t="s">
        <v>156</v>
      </c>
      <c r="AB2" s="37" t="s">
        <v>157</v>
      </c>
      <c r="AC2" s="37" t="s">
        <v>158</v>
      </c>
      <c r="AD2" s="37" t="s">
        <v>159</v>
      </c>
      <c r="AE2" s="37" t="s">
        <v>160</v>
      </c>
      <c r="AF2" s="37" t="s">
        <v>161</v>
      </c>
      <c r="AG2" s="37" t="s">
        <v>162</v>
      </c>
      <c r="AH2" s="37" t="s">
        <v>163</v>
      </c>
      <c r="AI2" s="37" t="s">
        <v>164</v>
      </c>
      <c r="AJ2" s="37" t="s">
        <v>165</v>
      </c>
      <c r="AK2" s="37" t="s">
        <v>166</v>
      </c>
      <c r="AL2" s="37" t="s">
        <v>155</v>
      </c>
      <c r="AM2" s="17" t="s">
        <v>156</v>
      </c>
      <c r="AN2" s="17" t="s">
        <v>157</v>
      </c>
      <c r="AO2" s="17" t="s">
        <v>158</v>
      </c>
      <c r="AP2" s="17" t="s">
        <v>159</v>
      </c>
      <c r="AQ2" s="17" t="s">
        <v>160</v>
      </c>
      <c r="AR2" s="17" t="s">
        <v>161</v>
      </c>
      <c r="AS2" s="17" t="s">
        <v>162</v>
      </c>
      <c r="AT2" s="17" t="s">
        <v>163</v>
      </c>
      <c r="AU2" s="17" t="s">
        <v>164</v>
      </c>
      <c r="AV2" s="17" t="s">
        <v>165</v>
      </c>
      <c r="AW2" s="17" t="s">
        <v>166</v>
      </c>
      <c r="AX2" s="17" t="s">
        <v>155</v>
      </c>
    </row>
    <row r="3" spans="1:50">
      <c r="A3" s="37" t="s">
        <v>167</v>
      </c>
      <c r="B3" s="37">
        <v>45</v>
      </c>
      <c r="C3" s="38">
        <v>35</v>
      </c>
      <c r="D3" s="37">
        <v>50</v>
      </c>
      <c r="E3" s="37">
        <v>50</v>
      </c>
      <c r="F3" s="37">
        <v>30</v>
      </c>
      <c r="G3" s="37">
        <v>131</v>
      </c>
      <c r="H3" s="37">
        <v>35</v>
      </c>
      <c r="I3" s="37">
        <v>113</v>
      </c>
      <c r="J3" s="37">
        <v>45</v>
      </c>
      <c r="K3" s="37">
        <v>90</v>
      </c>
      <c r="L3" s="37">
        <v>105</v>
      </c>
      <c r="M3" s="37">
        <v>100</v>
      </c>
      <c r="N3" s="37">
        <v>310</v>
      </c>
      <c r="O3" s="38">
        <v>110</v>
      </c>
      <c r="P3" s="37">
        <v>163</v>
      </c>
      <c r="Q3" s="37">
        <v>380</v>
      </c>
      <c r="R3" s="37">
        <v>288</v>
      </c>
      <c r="S3" s="37">
        <v>165</v>
      </c>
      <c r="T3" s="37">
        <v>15</v>
      </c>
      <c r="U3" s="37">
        <v>15</v>
      </c>
      <c r="V3" s="37">
        <v>80</v>
      </c>
      <c r="W3" s="37">
        <v>36</v>
      </c>
      <c r="X3" s="37">
        <v>95</v>
      </c>
      <c r="Y3" s="37">
        <v>137</v>
      </c>
      <c r="Z3" s="39">
        <v>98</v>
      </c>
      <c r="AA3" s="37">
        <v>80</v>
      </c>
      <c r="AB3" s="37">
        <v>175</v>
      </c>
      <c r="AC3" s="37">
        <v>110</v>
      </c>
      <c r="AD3" s="37">
        <v>61</v>
      </c>
      <c r="AE3" s="37">
        <v>149</v>
      </c>
      <c r="AF3" s="37">
        <f>45+52</f>
        <v>97</v>
      </c>
      <c r="AG3" s="37">
        <v>80</v>
      </c>
      <c r="AH3" s="37">
        <f>15+60</f>
        <v>75</v>
      </c>
      <c r="AI3" s="37">
        <f>65+10+13+10</f>
        <v>98</v>
      </c>
      <c r="AJ3" s="37">
        <f>45+3</f>
        <v>48</v>
      </c>
      <c r="AK3" s="37">
        <f>3+30+50+18</f>
        <v>101</v>
      </c>
      <c r="AL3" s="37">
        <f>12+10</f>
        <v>22</v>
      </c>
      <c r="AM3" s="17">
        <v>25</v>
      </c>
      <c r="AN3" s="17">
        <v>70</v>
      </c>
      <c r="AO3" s="17">
        <f>1+45+20</f>
        <v>66</v>
      </c>
      <c r="AP3" s="17">
        <v>165</v>
      </c>
      <c r="AQ3" s="17">
        <v>92</v>
      </c>
      <c r="AR3" s="17">
        <f>137-AQ3</f>
        <v>45</v>
      </c>
      <c r="AS3" s="17"/>
      <c r="AT3" s="17"/>
      <c r="AU3" s="17"/>
      <c r="AV3" s="17"/>
      <c r="AW3" s="17"/>
      <c r="AX3" s="17"/>
    </row>
    <row r="4" spans="1:50">
      <c r="A4" s="40" t="s">
        <v>86</v>
      </c>
      <c r="B4" s="40">
        <v>47</v>
      </c>
      <c r="C4" s="41">
        <v>30</v>
      </c>
      <c r="D4" s="40">
        <v>25</v>
      </c>
      <c r="E4" s="40">
        <v>95</v>
      </c>
      <c r="F4" s="40">
        <v>66</v>
      </c>
      <c r="G4" s="40">
        <v>118</v>
      </c>
      <c r="H4" s="40">
        <v>15</v>
      </c>
      <c r="I4" s="40">
        <v>135</v>
      </c>
      <c r="J4" s="40">
        <v>30</v>
      </c>
      <c r="K4" s="40">
        <v>126</v>
      </c>
      <c r="L4" s="40">
        <v>85</v>
      </c>
      <c r="M4" s="40">
        <v>205</v>
      </c>
      <c r="N4" s="40">
        <v>412</v>
      </c>
      <c r="O4" s="41">
        <v>140</v>
      </c>
      <c r="P4" s="40">
        <v>70</v>
      </c>
      <c r="Q4" s="40">
        <v>337</v>
      </c>
      <c r="R4" s="40">
        <v>347</v>
      </c>
      <c r="S4" s="40">
        <v>313</v>
      </c>
      <c r="T4" s="40">
        <v>20</v>
      </c>
      <c r="U4" s="40">
        <v>10</v>
      </c>
      <c r="V4" s="40">
        <v>95</v>
      </c>
      <c r="W4" s="40">
        <v>109</v>
      </c>
      <c r="X4" s="40">
        <v>211</v>
      </c>
      <c r="Y4" s="40">
        <v>183</v>
      </c>
      <c r="Z4" s="42">
        <v>54</v>
      </c>
      <c r="AA4" s="40">
        <v>72</v>
      </c>
      <c r="AB4" s="40">
        <v>193</v>
      </c>
      <c r="AC4" s="40">
        <v>170</v>
      </c>
      <c r="AD4" s="40">
        <v>86</v>
      </c>
      <c r="AE4" s="40">
        <v>152</v>
      </c>
      <c r="AF4" s="40">
        <f>70+55</f>
        <v>125</v>
      </c>
      <c r="AG4" s="40">
        <v>115</v>
      </c>
      <c r="AH4" s="40">
        <f>35+90</f>
        <v>125</v>
      </c>
      <c r="AI4" s="40">
        <f>65+6+20+10</f>
        <v>101</v>
      </c>
      <c r="AJ4" s="40">
        <f>45+2+110</f>
        <v>157</v>
      </c>
      <c r="AK4" s="40">
        <f>3+52+50+20</f>
        <v>125</v>
      </c>
      <c r="AL4" s="40">
        <f>160+11+31</f>
        <v>202</v>
      </c>
      <c r="AM4" s="43">
        <v>60</v>
      </c>
      <c r="AN4" s="43">
        <v>120</v>
      </c>
      <c r="AO4" s="43">
        <f>1+63+60</f>
        <v>124</v>
      </c>
      <c r="AP4" s="43">
        <v>214</v>
      </c>
      <c r="AQ4" s="43">
        <v>69</v>
      </c>
      <c r="AR4" s="43">
        <f>125-AQ4</f>
        <v>56</v>
      </c>
      <c r="AS4" s="43"/>
      <c r="AT4" s="43"/>
      <c r="AU4" s="43"/>
      <c r="AV4" s="43"/>
      <c r="AW4" s="43"/>
      <c r="AX4" s="43"/>
    </row>
    <row r="5" spans="1:50">
      <c r="A5" s="37" t="s">
        <v>168</v>
      </c>
      <c r="B5" s="37">
        <v>35</v>
      </c>
      <c r="C5" s="38">
        <v>20</v>
      </c>
      <c r="D5" s="37">
        <v>17</v>
      </c>
      <c r="E5" s="37">
        <v>55</v>
      </c>
      <c r="F5" s="37">
        <v>40</v>
      </c>
      <c r="G5" s="37">
        <v>71</v>
      </c>
      <c r="H5" s="37">
        <v>45</v>
      </c>
      <c r="I5" s="37">
        <v>91</v>
      </c>
      <c r="J5" s="37">
        <v>30</v>
      </c>
      <c r="K5" s="37">
        <v>160</v>
      </c>
      <c r="L5" s="37">
        <v>80</v>
      </c>
      <c r="M5" s="37">
        <v>158</v>
      </c>
      <c r="N5" s="37">
        <v>280</v>
      </c>
      <c r="O5" s="38">
        <v>80</v>
      </c>
      <c r="P5" s="37">
        <v>173</v>
      </c>
      <c r="Q5" s="37">
        <v>275</v>
      </c>
      <c r="R5" s="37">
        <v>381</v>
      </c>
      <c r="S5" s="37">
        <v>239</v>
      </c>
      <c r="T5" s="37">
        <v>95</v>
      </c>
      <c r="U5" s="37">
        <v>12</v>
      </c>
      <c r="V5" s="37">
        <v>78</v>
      </c>
      <c r="W5" s="37">
        <v>103</v>
      </c>
      <c r="X5" s="37">
        <v>109</v>
      </c>
      <c r="Y5" s="37">
        <v>154</v>
      </c>
      <c r="Z5" s="39">
        <v>110</v>
      </c>
      <c r="AA5" s="37">
        <v>65</v>
      </c>
      <c r="AB5" s="37">
        <v>169</v>
      </c>
      <c r="AC5" s="37">
        <v>133</v>
      </c>
      <c r="AD5" s="37">
        <v>73</v>
      </c>
      <c r="AE5" s="37">
        <v>150</v>
      </c>
      <c r="AF5" s="37">
        <f>45+35</f>
        <v>80</v>
      </c>
      <c r="AG5" s="37">
        <v>110</v>
      </c>
      <c r="AH5" s="37">
        <f>3+57</f>
        <v>60</v>
      </c>
      <c r="AI5" s="37">
        <f>45+10+11+10</f>
        <v>76</v>
      </c>
      <c r="AJ5" s="37">
        <f>48+2+150</f>
        <v>200</v>
      </c>
      <c r="AK5" s="37">
        <f>3+25+23+35</f>
        <v>86</v>
      </c>
      <c r="AL5" s="37">
        <f>40+22</f>
        <v>62</v>
      </c>
      <c r="AM5" s="17">
        <v>25</v>
      </c>
      <c r="AN5" s="17">
        <v>70</v>
      </c>
      <c r="AO5" s="17">
        <f>1+45+55</f>
        <v>101</v>
      </c>
      <c r="AP5" s="17">
        <v>160</v>
      </c>
      <c r="AQ5" s="17">
        <v>268</v>
      </c>
      <c r="AR5" s="17">
        <f>309-AQ5</f>
        <v>41</v>
      </c>
      <c r="AS5" s="17"/>
      <c r="AT5" s="17"/>
      <c r="AU5" s="17"/>
      <c r="AV5" s="17"/>
      <c r="AW5" s="17"/>
      <c r="AX5" s="17"/>
    </row>
    <row r="6" spans="1:50">
      <c r="A6" s="37" t="s">
        <v>102</v>
      </c>
      <c r="B6" s="37">
        <v>47</v>
      </c>
      <c r="C6" s="38">
        <v>30</v>
      </c>
      <c r="D6" s="37">
        <v>25</v>
      </c>
      <c r="E6" s="37">
        <v>95</v>
      </c>
      <c r="F6" s="37">
        <v>78</v>
      </c>
      <c r="G6" s="37">
        <v>102</v>
      </c>
      <c r="H6" s="37">
        <v>11</v>
      </c>
      <c r="I6" s="37">
        <v>130</v>
      </c>
      <c r="J6" s="37">
        <v>35</v>
      </c>
      <c r="K6" s="37">
        <v>166</v>
      </c>
      <c r="L6" s="37">
        <v>80</v>
      </c>
      <c r="M6" s="37">
        <v>200</v>
      </c>
      <c r="N6" s="37">
        <v>352</v>
      </c>
      <c r="O6" s="38">
        <v>107</v>
      </c>
      <c r="P6" s="37">
        <v>90</v>
      </c>
      <c r="Q6" s="37">
        <v>250</v>
      </c>
      <c r="R6" s="37">
        <v>330</v>
      </c>
      <c r="S6" s="37">
        <v>310</v>
      </c>
      <c r="T6" s="37">
        <v>20</v>
      </c>
      <c r="U6" s="37">
        <v>10</v>
      </c>
      <c r="V6" s="37">
        <v>100</v>
      </c>
      <c r="W6" s="37">
        <v>118</v>
      </c>
      <c r="X6" s="37">
        <v>202</v>
      </c>
      <c r="Y6" s="37">
        <v>169</v>
      </c>
      <c r="Z6" s="39">
        <v>42</v>
      </c>
      <c r="AA6" s="37">
        <v>20</v>
      </c>
      <c r="AB6" s="37">
        <v>174</v>
      </c>
      <c r="AC6" s="37">
        <v>158</v>
      </c>
      <c r="AD6" s="37">
        <v>100</v>
      </c>
      <c r="AE6" s="37">
        <v>109</v>
      </c>
      <c r="AF6" s="37">
        <f>87+75</f>
        <v>162</v>
      </c>
      <c r="AG6" s="37">
        <v>105</v>
      </c>
      <c r="AH6" s="37">
        <f>30+78</f>
        <v>108</v>
      </c>
      <c r="AI6" s="37">
        <f>63+6+22+18</f>
        <v>109</v>
      </c>
      <c r="AJ6" s="37">
        <f>40+11+178</f>
        <v>229</v>
      </c>
      <c r="AK6" s="37">
        <f>3+68+51+18</f>
        <v>140</v>
      </c>
      <c r="AL6" s="37">
        <f>160+11+30</f>
        <v>201</v>
      </c>
      <c r="AM6" s="17">
        <v>51</v>
      </c>
      <c r="AN6" s="17">
        <v>145</v>
      </c>
      <c r="AO6" s="17">
        <f>1+62+60</f>
        <v>123</v>
      </c>
      <c r="AP6" s="17">
        <v>226</v>
      </c>
      <c r="AQ6" s="17">
        <v>62</v>
      </c>
      <c r="AR6" s="17">
        <f>120-AQ6</f>
        <v>58</v>
      </c>
      <c r="AS6" s="17"/>
      <c r="AT6" s="17"/>
      <c r="AU6" s="17"/>
      <c r="AV6" s="17"/>
      <c r="AW6" s="17"/>
      <c r="AX6" s="17"/>
    </row>
    <row r="7" spans="1:50">
      <c r="A7" s="37" t="s">
        <v>116</v>
      </c>
      <c r="B7" s="37">
        <v>35</v>
      </c>
      <c r="C7" s="38">
        <v>20</v>
      </c>
      <c r="D7" s="37">
        <v>17</v>
      </c>
      <c r="E7" s="37">
        <v>55</v>
      </c>
      <c r="F7" s="37">
        <v>60</v>
      </c>
      <c r="G7" s="37">
        <v>87</v>
      </c>
      <c r="H7" s="37">
        <v>10</v>
      </c>
      <c r="I7" s="37">
        <v>110</v>
      </c>
      <c r="J7" s="37">
        <v>30</v>
      </c>
      <c r="K7" s="37">
        <v>140</v>
      </c>
      <c r="L7" s="37">
        <v>70</v>
      </c>
      <c r="M7" s="37">
        <v>150</v>
      </c>
      <c r="N7" s="37">
        <v>255</v>
      </c>
      <c r="O7" s="38">
        <v>110</v>
      </c>
      <c r="P7" s="37">
        <v>117</v>
      </c>
      <c r="Q7" s="37">
        <v>300</v>
      </c>
      <c r="R7" s="37">
        <v>280</v>
      </c>
      <c r="S7" s="37">
        <v>155</v>
      </c>
      <c r="T7" s="37">
        <v>21</v>
      </c>
      <c r="U7" s="37">
        <v>10</v>
      </c>
      <c r="V7" s="37">
        <v>73</v>
      </c>
      <c r="W7" s="37">
        <v>120</v>
      </c>
      <c r="X7" s="37">
        <v>193</v>
      </c>
      <c r="Y7" s="37">
        <v>168</v>
      </c>
      <c r="Z7" s="39">
        <v>95</v>
      </c>
      <c r="AA7" s="37">
        <v>50</v>
      </c>
      <c r="AB7" s="37">
        <v>132</v>
      </c>
      <c r="AC7" s="37">
        <v>140</v>
      </c>
      <c r="AD7" s="37">
        <v>77</v>
      </c>
      <c r="AE7" s="37">
        <v>192</v>
      </c>
      <c r="AF7" s="37">
        <f>45+35</f>
        <v>80</v>
      </c>
      <c r="AG7" s="37">
        <v>102</v>
      </c>
      <c r="AH7" s="37">
        <f>1+68</f>
        <v>69</v>
      </c>
      <c r="AI7" s="37">
        <f>40+10+10+10</f>
        <v>70</v>
      </c>
      <c r="AJ7" s="37">
        <f>40+2+117</f>
        <v>159</v>
      </c>
      <c r="AK7" s="37">
        <f>3+35+30+15</f>
        <v>83</v>
      </c>
      <c r="AL7" s="37">
        <f>63+30</f>
        <v>93</v>
      </c>
      <c r="AM7" s="17">
        <v>33</v>
      </c>
      <c r="AN7" s="17">
        <v>70</v>
      </c>
      <c r="AO7" s="17">
        <f>2+45+90</f>
        <v>137</v>
      </c>
      <c r="AP7" s="17">
        <v>115</v>
      </c>
      <c r="AQ7" s="17">
        <v>300</v>
      </c>
      <c r="AR7" s="17">
        <v>46</v>
      </c>
      <c r="AS7" s="17"/>
      <c r="AT7" s="17"/>
      <c r="AU7" s="17"/>
      <c r="AV7" s="17"/>
      <c r="AW7" s="17"/>
      <c r="AX7" s="17"/>
    </row>
  </sheetData>
  <mergeCells count="4">
    <mergeCell ref="C1:N1"/>
    <mergeCell ref="O1:Z1"/>
    <mergeCell ref="AA1:AL1"/>
    <mergeCell ref="AM1:AX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BBF542-46E2-4D90-B593-1F03D9E2A95E}"/>
</file>

<file path=customXml/itemProps2.xml><?xml version="1.0" encoding="utf-8"?>
<ds:datastoreItem xmlns:ds="http://schemas.openxmlformats.org/officeDocument/2006/customXml" ds:itemID="{14CBE609-95E4-45D1-B334-D32AADDB8A39}"/>
</file>

<file path=customXml/itemProps3.xml><?xml version="1.0" encoding="utf-8"?>
<ds:datastoreItem xmlns:ds="http://schemas.openxmlformats.org/officeDocument/2006/customXml" ds:itemID="{DE668D04-A599-40BD-83B4-4E55F7C43B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2026-04-11T12:55:12Z</dcterms:created>
  <dcterms:modified xsi:type="dcterms:W3CDTF">2026-06-22T09:16:24Z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